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a_b22025_live_concordia_ca/Documents/"/>
    </mc:Choice>
  </mc:AlternateContent>
  <xr:revisionPtr revIDLastSave="0" documentId="8_{D58B89D4-DBA1-654B-A2B0-E583D43FDA15}" xr6:coauthVersionLast="47" xr6:coauthVersionMax="47" xr10:uidLastSave="{00000000-0000-0000-0000-000000000000}"/>
  <bookViews>
    <workbookView xWindow="9735" yWindow="3090" windowWidth="23310" windowHeight="12705" activeTab="3" xr2:uid="{8BBD5B91-26A4-495B-9DA6-4AEC185E6A58}"/>
  </bookViews>
  <sheets>
    <sheet name="Summary" sheetId="5" r:id="rId1"/>
    <sheet name="Likely" sheetId="1" r:id="rId2"/>
    <sheet name="Pessimistic" sheetId="3" r:id="rId3"/>
    <sheet name="Optimistic" sheetId="4" r:id="rId4"/>
  </sheets>
  <definedNames>
    <definedName name="solver_adj" localSheetId="1" hidden="1">Likely!$B$34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Likely!$B$36</definedName>
    <definedName name="solver_pre" localSheetId="1" hidden="1">0.000001</definedName>
    <definedName name="solver_rbv" localSheetId="1" hidden="1">2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113795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1" i="1" l="1"/>
  <c r="G61" i="4"/>
  <c r="G48" i="4"/>
  <c r="G61" i="3"/>
  <c r="G48" i="3"/>
  <c r="G61" i="1"/>
  <c r="G48" i="1"/>
  <c r="G49" i="1"/>
  <c r="B53" i="1"/>
  <c r="G62" i="1"/>
  <c r="B66" i="1"/>
  <c r="F16" i="4"/>
  <c r="C72" i="3"/>
  <c r="C38" i="3"/>
  <c r="E72" i="3"/>
  <c r="F72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B78" i="3"/>
  <c r="C78" i="3"/>
  <c r="D78" i="3"/>
  <c r="E78" i="3"/>
  <c r="F78" i="3"/>
  <c r="B79" i="3"/>
  <c r="C79" i="3"/>
  <c r="D79" i="3"/>
  <c r="E79" i="3"/>
  <c r="F79" i="3"/>
  <c r="B80" i="3"/>
  <c r="C80" i="3"/>
  <c r="D80" i="3"/>
  <c r="E80" i="3"/>
  <c r="F80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B94" i="3"/>
  <c r="C94" i="3"/>
  <c r="D94" i="3"/>
  <c r="E94" i="3"/>
  <c r="F94" i="3"/>
  <c r="B95" i="3"/>
  <c r="C95" i="3"/>
  <c r="D95" i="3"/>
  <c r="E95" i="3"/>
  <c r="F95" i="3"/>
  <c r="B96" i="3"/>
  <c r="C96" i="3"/>
  <c r="D96" i="3"/>
  <c r="E96" i="3"/>
  <c r="F96" i="3"/>
  <c r="B97" i="3"/>
  <c r="C97" i="3"/>
  <c r="D97" i="3"/>
  <c r="E97" i="3"/>
  <c r="F97" i="3"/>
  <c r="B98" i="3"/>
  <c r="C98" i="3"/>
  <c r="D98" i="3"/>
  <c r="E98" i="3"/>
  <c r="F98" i="3"/>
  <c r="B99" i="3"/>
  <c r="C99" i="3"/>
  <c r="D99" i="3"/>
  <c r="E99" i="3"/>
  <c r="F99" i="3"/>
  <c r="B100" i="3"/>
  <c r="C100" i="3"/>
  <c r="D100" i="3"/>
  <c r="E100" i="3"/>
  <c r="F100" i="3"/>
  <c r="B101" i="3"/>
  <c r="C101" i="3"/>
  <c r="D101" i="3"/>
  <c r="E101" i="3"/>
  <c r="F101" i="3"/>
  <c r="B102" i="3"/>
  <c r="C102" i="3"/>
  <c r="D102" i="3"/>
  <c r="E102" i="3"/>
  <c r="F102" i="3"/>
  <c r="B103" i="3"/>
  <c r="C103" i="3"/>
  <c r="D103" i="3"/>
  <c r="E103" i="3"/>
  <c r="F103" i="3"/>
  <c r="B104" i="3"/>
  <c r="C104" i="3"/>
  <c r="D104" i="3"/>
  <c r="E104" i="3"/>
  <c r="F104" i="3"/>
  <c r="B105" i="3"/>
  <c r="C105" i="3"/>
  <c r="D105" i="3"/>
  <c r="E105" i="3"/>
  <c r="F105" i="3"/>
  <c r="B106" i="3"/>
  <c r="C106" i="3"/>
  <c r="D106" i="3"/>
  <c r="E106" i="3"/>
  <c r="F106" i="3"/>
  <c r="B107" i="3"/>
  <c r="C107" i="3"/>
  <c r="D107" i="3"/>
  <c r="E107" i="3"/>
  <c r="F107" i="3"/>
  <c r="B108" i="3"/>
  <c r="C108" i="3"/>
  <c r="D108" i="3"/>
  <c r="E108" i="3"/>
  <c r="F108" i="3"/>
  <c r="B109" i="3"/>
  <c r="C109" i="3"/>
  <c r="D109" i="3"/>
  <c r="E109" i="3"/>
  <c r="F109" i="3"/>
  <c r="B110" i="3"/>
  <c r="C110" i="3"/>
  <c r="D110" i="3"/>
  <c r="E110" i="3"/>
  <c r="F110" i="3"/>
  <c r="B111" i="3"/>
  <c r="C111" i="3"/>
  <c r="D111" i="3"/>
  <c r="E111" i="3"/>
  <c r="F111" i="3"/>
  <c r="B112" i="3"/>
  <c r="C112" i="3"/>
  <c r="D112" i="3"/>
  <c r="E112" i="3"/>
  <c r="F112" i="3"/>
  <c r="B113" i="3"/>
  <c r="C113" i="3"/>
  <c r="D113" i="3"/>
  <c r="E113" i="3"/>
  <c r="F113" i="3"/>
  <c r="B114" i="3"/>
  <c r="C114" i="3"/>
  <c r="D114" i="3"/>
  <c r="E114" i="3"/>
  <c r="F114" i="3"/>
  <c r="B115" i="3"/>
  <c r="C115" i="3"/>
  <c r="D115" i="3"/>
  <c r="E115" i="3"/>
  <c r="F115" i="3"/>
  <c r="B116" i="3"/>
  <c r="C116" i="3"/>
  <c r="D116" i="3"/>
  <c r="E116" i="3"/>
  <c r="F116" i="3"/>
  <c r="B117" i="3"/>
  <c r="C117" i="3"/>
  <c r="D117" i="3"/>
  <c r="E117" i="3"/>
  <c r="F117" i="3"/>
  <c r="B118" i="3"/>
  <c r="C118" i="3"/>
  <c r="D118" i="3"/>
  <c r="E118" i="3"/>
  <c r="F118" i="3"/>
  <c r="B119" i="3"/>
  <c r="C119" i="3"/>
  <c r="D119" i="3"/>
  <c r="E119" i="3"/>
  <c r="F119" i="3"/>
  <c r="B120" i="3"/>
  <c r="C120" i="3"/>
  <c r="D120" i="3"/>
  <c r="E120" i="3"/>
  <c r="F120" i="3"/>
  <c r="B121" i="3"/>
  <c r="C121" i="3"/>
  <c r="D121" i="3"/>
  <c r="E121" i="3"/>
  <c r="F121" i="3"/>
  <c r="B122" i="3"/>
  <c r="C122" i="3"/>
  <c r="D122" i="3"/>
  <c r="E122" i="3"/>
  <c r="F122" i="3"/>
  <c r="B123" i="3"/>
  <c r="C123" i="3"/>
  <c r="D123" i="3"/>
  <c r="E123" i="3"/>
  <c r="F123" i="3"/>
  <c r="B124" i="3"/>
  <c r="C124" i="3"/>
  <c r="D124" i="3"/>
  <c r="E124" i="3"/>
  <c r="F124" i="3"/>
  <c r="B125" i="3"/>
  <c r="C125" i="3"/>
  <c r="D125" i="3"/>
  <c r="E125" i="3"/>
  <c r="F125" i="3"/>
  <c r="B126" i="3"/>
  <c r="C126" i="3"/>
  <c r="D126" i="3"/>
  <c r="E126" i="3"/>
  <c r="F126" i="3"/>
  <c r="B127" i="3"/>
  <c r="C127" i="3"/>
  <c r="D127" i="3"/>
  <c r="E127" i="3"/>
  <c r="F127" i="3"/>
  <c r="B128" i="3"/>
  <c r="C128" i="3"/>
  <c r="D128" i="3"/>
  <c r="E128" i="3"/>
  <c r="F128" i="3"/>
  <c r="B129" i="3"/>
  <c r="C129" i="3"/>
  <c r="D129" i="3"/>
  <c r="E129" i="3"/>
  <c r="F129" i="3"/>
  <c r="B130" i="3"/>
  <c r="C130" i="3"/>
  <c r="D130" i="3"/>
  <c r="E130" i="3"/>
  <c r="F130" i="3"/>
  <c r="B131" i="3"/>
  <c r="C131" i="3"/>
  <c r="D131" i="3"/>
  <c r="E131" i="3"/>
  <c r="F131" i="3"/>
  <c r="C39" i="3"/>
  <c r="D38" i="3"/>
  <c r="D39" i="3"/>
  <c r="E38" i="3"/>
  <c r="E39" i="3"/>
  <c r="F38" i="3"/>
  <c r="F39" i="3"/>
  <c r="G38" i="3"/>
  <c r="G39" i="3"/>
  <c r="C60" i="3" a="1"/>
  <c r="G62" i="3"/>
  <c r="B12" i="4"/>
  <c r="B72" i="4"/>
  <c r="B14" i="4"/>
  <c r="C72" i="4"/>
  <c r="D72" i="4"/>
  <c r="E72" i="4"/>
  <c r="F72" i="4"/>
  <c r="C34" i="3"/>
  <c r="D34" i="3"/>
  <c r="E34" i="3"/>
  <c r="F34" i="3"/>
  <c r="G34" i="3"/>
  <c r="H34" i="3"/>
  <c r="F3" i="3"/>
  <c r="F4" i="3"/>
  <c r="F8" i="3"/>
  <c r="B35" i="3"/>
  <c r="C35" i="3"/>
  <c r="D35" i="3"/>
  <c r="E35" i="3"/>
  <c r="F35" i="3"/>
  <c r="G35" i="3"/>
  <c r="H35" i="3"/>
  <c r="H36" i="3"/>
  <c r="B12" i="3"/>
  <c r="B72" i="3"/>
  <c r="B14" i="3"/>
  <c r="D72" i="3"/>
  <c r="C34" i="4"/>
  <c r="D34" i="4"/>
  <c r="E34" i="4"/>
  <c r="F34" i="4"/>
  <c r="G34" i="4"/>
  <c r="H34" i="4"/>
  <c r="F3" i="4"/>
  <c r="F4" i="4"/>
  <c r="F8" i="4"/>
  <c r="B35" i="4"/>
  <c r="C35" i="4"/>
  <c r="D35" i="4"/>
  <c r="E35" i="4"/>
  <c r="F35" i="4"/>
  <c r="G35" i="4"/>
  <c r="H35" i="4"/>
  <c r="H36" i="4"/>
  <c r="H39" i="4"/>
  <c r="B73" i="4"/>
  <c r="C73" i="4"/>
  <c r="D73" i="4"/>
  <c r="E73" i="4"/>
  <c r="F73" i="4"/>
  <c r="B74" i="4"/>
  <c r="C74" i="4"/>
  <c r="D74" i="4"/>
  <c r="E74" i="4"/>
  <c r="F74" i="4"/>
  <c r="B75" i="4"/>
  <c r="C75" i="4"/>
  <c r="D75" i="4"/>
  <c r="E75" i="4"/>
  <c r="F75" i="4"/>
  <c r="B76" i="4"/>
  <c r="C76" i="4"/>
  <c r="D76" i="4"/>
  <c r="E76" i="4"/>
  <c r="F76" i="4"/>
  <c r="B77" i="4"/>
  <c r="C77" i="4"/>
  <c r="D77" i="4"/>
  <c r="E77" i="4"/>
  <c r="F77" i="4"/>
  <c r="B78" i="4"/>
  <c r="C78" i="4"/>
  <c r="D78" i="4"/>
  <c r="E78" i="4"/>
  <c r="F78" i="4"/>
  <c r="B79" i="4"/>
  <c r="C79" i="4"/>
  <c r="D79" i="4"/>
  <c r="E79" i="4"/>
  <c r="F79" i="4"/>
  <c r="B80" i="4"/>
  <c r="C80" i="4"/>
  <c r="D80" i="4"/>
  <c r="E80" i="4"/>
  <c r="F80" i="4"/>
  <c r="B81" i="4"/>
  <c r="C81" i="4"/>
  <c r="D81" i="4"/>
  <c r="E81" i="4"/>
  <c r="F81" i="4"/>
  <c r="B82" i="4"/>
  <c r="C82" i="4"/>
  <c r="D82" i="4"/>
  <c r="E82" i="4"/>
  <c r="F82" i="4"/>
  <c r="B83" i="4"/>
  <c r="C83" i="4"/>
  <c r="D83" i="4"/>
  <c r="E83" i="4"/>
  <c r="F83" i="4"/>
  <c r="B84" i="4"/>
  <c r="C84" i="4"/>
  <c r="D84" i="4"/>
  <c r="E84" i="4"/>
  <c r="F84" i="4"/>
  <c r="B85" i="4"/>
  <c r="C85" i="4"/>
  <c r="D85" i="4"/>
  <c r="E85" i="4"/>
  <c r="F85" i="4"/>
  <c r="B86" i="4"/>
  <c r="C86" i="4"/>
  <c r="D86" i="4"/>
  <c r="E86" i="4"/>
  <c r="F86" i="4"/>
  <c r="B87" i="4"/>
  <c r="C87" i="4"/>
  <c r="D87" i="4"/>
  <c r="E87" i="4"/>
  <c r="F87" i="4"/>
  <c r="B88" i="4"/>
  <c r="C88" i="4"/>
  <c r="D88" i="4"/>
  <c r="E88" i="4"/>
  <c r="F88" i="4"/>
  <c r="B89" i="4"/>
  <c r="C89" i="4"/>
  <c r="D89" i="4"/>
  <c r="E89" i="4"/>
  <c r="F89" i="4"/>
  <c r="B90" i="4"/>
  <c r="C90" i="4"/>
  <c r="D90" i="4"/>
  <c r="E90" i="4"/>
  <c r="F90" i="4"/>
  <c r="B91" i="4"/>
  <c r="C91" i="4"/>
  <c r="D91" i="4"/>
  <c r="E91" i="4"/>
  <c r="F91" i="4"/>
  <c r="B92" i="4"/>
  <c r="C92" i="4"/>
  <c r="D92" i="4"/>
  <c r="E92" i="4"/>
  <c r="F92" i="4"/>
  <c r="B93" i="4"/>
  <c r="C93" i="4"/>
  <c r="D93" i="4"/>
  <c r="E93" i="4"/>
  <c r="F93" i="4"/>
  <c r="B94" i="4"/>
  <c r="C94" i="4"/>
  <c r="D94" i="4"/>
  <c r="E94" i="4"/>
  <c r="F94" i="4"/>
  <c r="B95" i="4"/>
  <c r="C95" i="4"/>
  <c r="D95" i="4"/>
  <c r="E95" i="4"/>
  <c r="F95" i="4"/>
  <c r="B96" i="4"/>
  <c r="C96" i="4"/>
  <c r="D96" i="4"/>
  <c r="E96" i="4"/>
  <c r="F96" i="4"/>
  <c r="B97" i="4"/>
  <c r="C97" i="4"/>
  <c r="D97" i="4"/>
  <c r="E97" i="4"/>
  <c r="F97" i="4"/>
  <c r="B98" i="4"/>
  <c r="C98" i="4"/>
  <c r="D98" i="4"/>
  <c r="E98" i="4"/>
  <c r="F98" i="4"/>
  <c r="B99" i="4"/>
  <c r="C99" i="4"/>
  <c r="D99" i="4"/>
  <c r="E99" i="4"/>
  <c r="F99" i="4"/>
  <c r="B100" i="4"/>
  <c r="C100" i="4"/>
  <c r="D100" i="4"/>
  <c r="E100" i="4"/>
  <c r="F100" i="4"/>
  <c r="B101" i="4"/>
  <c r="C101" i="4"/>
  <c r="D101" i="4"/>
  <c r="E101" i="4"/>
  <c r="F101" i="4"/>
  <c r="B102" i="4"/>
  <c r="C102" i="4"/>
  <c r="D102" i="4"/>
  <c r="E102" i="4"/>
  <c r="F102" i="4"/>
  <c r="B103" i="4"/>
  <c r="C103" i="4"/>
  <c r="D103" i="4"/>
  <c r="E103" i="4"/>
  <c r="F103" i="4"/>
  <c r="B104" i="4"/>
  <c r="C104" i="4"/>
  <c r="D104" i="4"/>
  <c r="E104" i="4"/>
  <c r="F104" i="4"/>
  <c r="B105" i="4"/>
  <c r="C105" i="4"/>
  <c r="D105" i="4"/>
  <c r="E105" i="4"/>
  <c r="F105" i="4"/>
  <c r="B106" i="4"/>
  <c r="C106" i="4"/>
  <c r="D106" i="4"/>
  <c r="E106" i="4"/>
  <c r="F106" i="4"/>
  <c r="B107" i="4"/>
  <c r="C107" i="4"/>
  <c r="D107" i="4"/>
  <c r="E107" i="4"/>
  <c r="F107" i="4"/>
  <c r="B108" i="4"/>
  <c r="C108" i="4"/>
  <c r="D108" i="4"/>
  <c r="E108" i="4"/>
  <c r="F108" i="4"/>
  <c r="B109" i="4"/>
  <c r="C109" i="4"/>
  <c r="D109" i="4"/>
  <c r="E109" i="4"/>
  <c r="F109" i="4"/>
  <c r="B110" i="4"/>
  <c r="C110" i="4"/>
  <c r="D110" i="4"/>
  <c r="E110" i="4"/>
  <c r="F110" i="4"/>
  <c r="B111" i="4"/>
  <c r="C111" i="4"/>
  <c r="D111" i="4"/>
  <c r="E111" i="4"/>
  <c r="F111" i="4"/>
  <c r="B112" i="4"/>
  <c r="C112" i="4"/>
  <c r="D112" i="4"/>
  <c r="E112" i="4"/>
  <c r="F112" i="4"/>
  <c r="B113" i="4"/>
  <c r="C113" i="4"/>
  <c r="D113" i="4"/>
  <c r="E113" i="4"/>
  <c r="F113" i="4"/>
  <c r="B114" i="4"/>
  <c r="C114" i="4"/>
  <c r="D114" i="4"/>
  <c r="E114" i="4"/>
  <c r="F114" i="4"/>
  <c r="B115" i="4"/>
  <c r="C115" i="4"/>
  <c r="D115" i="4"/>
  <c r="E115" i="4"/>
  <c r="F115" i="4"/>
  <c r="B116" i="4"/>
  <c r="C116" i="4"/>
  <c r="D116" i="4"/>
  <c r="E116" i="4"/>
  <c r="F116" i="4"/>
  <c r="B117" i="4"/>
  <c r="C117" i="4"/>
  <c r="D117" i="4"/>
  <c r="E117" i="4"/>
  <c r="F117" i="4"/>
  <c r="B118" i="4"/>
  <c r="C118" i="4"/>
  <c r="D118" i="4"/>
  <c r="E118" i="4"/>
  <c r="F118" i="4"/>
  <c r="B119" i="4"/>
  <c r="C119" i="4"/>
  <c r="D119" i="4"/>
  <c r="E119" i="4"/>
  <c r="F119" i="4"/>
  <c r="B120" i="4"/>
  <c r="C120" i="4"/>
  <c r="D120" i="4"/>
  <c r="E120" i="4"/>
  <c r="F120" i="4"/>
  <c r="B121" i="4"/>
  <c r="C121" i="4"/>
  <c r="D121" i="4"/>
  <c r="E121" i="4"/>
  <c r="F121" i="4"/>
  <c r="B122" i="4"/>
  <c r="C122" i="4"/>
  <c r="D122" i="4"/>
  <c r="E122" i="4"/>
  <c r="F122" i="4"/>
  <c r="B123" i="4"/>
  <c r="C123" i="4"/>
  <c r="D123" i="4"/>
  <c r="E123" i="4"/>
  <c r="F123" i="4"/>
  <c r="B124" i="4"/>
  <c r="C124" i="4"/>
  <c r="D124" i="4"/>
  <c r="E124" i="4"/>
  <c r="F124" i="4"/>
  <c r="B125" i="4"/>
  <c r="C125" i="4"/>
  <c r="D125" i="4"/>
  <c r="E125" i="4"/>
  <c r="F125" i="4"/>
  <c r="B126" i="4"/>
  <c r="C126" i="4"/>
  <c r="D126" i="4"/>
  <c r="E126" i="4"/>
  <c r="F126" i="4"/>
  <c r="B127" i="4"/>
  <c r="C127" i="4"/>
  <c r="D127" i="4"/>
  <c r="E127" i="4"/>
  <c r="F127" i="4"/>
  <c r="B128" i="4"/>
  <c r="C128" i="4"/>
  <c r="D128" i="4"/>
  <c r="E128" i="4"/>
  <c r="F128" i="4"/>
  <c r="B129" i="4"/>
  <c r="C129" i="4"/>
  <c r="D129" i="4"/>
  <c r="E129" i="4"/>
  <c r="F129" i="4"/>
  <c r="B130" i="4"/>
  <c r="C130" i="4"/>
  <c r="D130" i="4"/>
  <c r="E130" i="4"/>
  <c r="F130" i="4"/>
  <c r="B131" i="4"/>
  <c r="C131" i="4"/>
  <c r="D131" i="4"/>
  <c r="E131" i="4"/>
  <c r="F131" i="4"/>
  <c r="B10" i="4"/>
  <c r="B59" i="4"/>
  <c r="B60" i="4"/>
  <c r="B62" i="4"/>
  <c r="B46" i="4"/>
  <c r="B16" i="4"/>
  <c r="B23" i="3"/>
  <c r="B10" i="3"/>
  <c r="B59" i="3"/>
  <c r="B60" i="3"/>
  <c r="B62" i="3"/>
  <c r="B46" i="3"/>
  <c r="C36" i="3"/>
  <c r="B6" i="3"/>
  <c r="B9" i="3"/>
  <c r="B10" i="1"/>
  <c r="B46" i="1"/>
  <c r="B49" i="1"/>
  <c r="C34" i="1"/>
  <c r="F8" i="1"/>
  <c r="F3" i="1"/>
  <c r="F4" i="1"/>
  <c r="B35" i="1"/>
  <c r="C35" i="1"/>
  <c r="C36" i="1"/>
  <c r="C47" i="1"/>
  <c r="C49" i="1"/>
  <c r="D34" i="1"/>
  <c r="D35" i="1"/>
  <c r="D36" i="1"/>
  <c r="B14" i="1"/>
  <c r="B12" i="1"/>
  <c r="B72" i="1"/>
  <c r="C72" i="1"/>
  <c r="D38" i="1"/>
  <c r="D39" i="1"/>
  <c r="D47" i="1"/>
  <c r="D49" i="1"/>
  <c r="E34" i="1"/>
  <c r="E35" i="1"/>
  <c r="E36" i="1"/>
  <c r="E38" i="1"/>
  <c r="E39" i="1"/>
  <c r="E47" i="1"/>
  <c r="E49" i="1"/>
  <c r="F34" i="1"/>
  <c r="F35" i="1"/>
  <c r="F36" i="1"/>
  <c r="F38" i="1"/>
  <c r="F39" i="1"/>
  <c r="F47" i="1"/>
  <c r="F49" i="1"/>
  <c r="G34" i="1"/>
  <c r="G35" i="1"/>
  <c r="G36" i="1"/>
  <c r="G38" i="1"/>
  <c r="G39" i="1"/>
  <c r="G47" i="1"/>
  <c r="H34" i="1"/>
  <c r="H35" i="1"/>
  <c r="H36" i="1"/>
  <c r="B6" i="1"/>
  <c r="B7" i="1"/>
  <c r="B21" i="1"/>
  <c r="B52" i="1"/>
  <c r="B23" i="1"/>
  <c r="B59" i="1"/>
  <c r="B16" i="1"/>
  <c r="C36" i="4"/>
  <c r="B6" i="4"/>
  <c r="B9" i="4"/>
  <c r="E14" i="4"/>
  <c r="E15" i="1"/>
  <c r="E16" i="3"/>
  <c r="E16" i="1"/>
  <c r="F15" i="1"/>
  <c r="F17" i="1"/>
  <c r="B24" i="1"/>
  <c r="C38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B111" i="1"/>
  <c r="C111" i="1"/>
  <c r="D111" i="1"/>
  <c r="E111" i="1"/>
  <c r="F111" i="1"/>
  <c r="B112" i="1"/>
  <c r="C112" i="1"/>
  <c r="D112" i="1"/>
  <c r="E112" i="1"/>
  <c r="F112" i="1"/>
  <c r="B113" i="1"/>
  <c r="C113" i="1"/>
  <c r="D113" i="1"/>
  <c r="E113" i="1"/>
  <c r="F113" i="1"/>
  <c r="B114" i="1"/>
  <c r="C114" i="1"/>
  <c r="D114" i="1"/>
  <c r="E114" i="1"/>
  <c r="F114" i="1"/>
  <c r="B115" i="1"/>
  <c r="C115" i="1"/>
  <c r="D115" i="1"/>
  <c r="E115" i="1"/>
  <c r="F115" i="1"/>
  <c r="B116" i="1"/>
  <c r="C116" i="1"/>
  <c r="D116" i="1"/>
  <c r="E116" i="1"/>
  <c r="F116" i="1"/>
  <c r="B117" i="1"/>
  <c r="C117" i="1"/>
  <c r="D117" i="1"/>
  <c r="E117" i="1"/>
  <c r="F117" i="1"/>
  <c r="B118" i="1"/>
  <c r="C118" i="1"/>
  <c r="D118" i="1"/>
  <c r="E118" i="1"/>
  <c r="F118" i="1"/>
  <c r="B119" i="1"/>
  <c r="C119" i="1"/>
  <c r="D119" i="1"/>
  <c r="E119" i="1"/>
  <c r="F119" i="1"/>
  <c r="B120" i="1"/>
  <c r="C120" i="1"/>
  <c r="D120" i="1"/>
  <c r="E120" i="1"/>
  <c r="F120" i="1"/>
  <c r="B121" i="1"/>
  <c r="C121" i="1"/>
  <c r="D121" i="1"/>
  <c r="E121" i="1"/>
  <c r="F121" i="1"/>
  <c r="B122" i="1"/>
  <c r="C122" i="1"/>
  <c r="D122" i="1"/>
  <c r="E122" i="1"/>
  <c r="F122" i="1"/>
  <c r="B123" i="1"/>
  <c r="C123" i="1"/>
  <c r="D123" i="1"/>
  <c r="E123" i="1"/>
  <c r="F123" i="1"/>
  <c r="B124" i="1"/>
  <c r="C124" i="1"/>
  <c r="D124" i="1"/>
  <c r="E124" i="1"/>
  <c r="F124" i="1"/>
  <c r="B125" i="1"/>
  <c r="C125" i="1"/>
  <c r="D125" i="1"/>
  <c r="E125" i="1"/>
  <c r="F125" i="1"/>
  <c r="B126" i="1"/>
  <c r="C126" i="1"/>
  <c r="D126" i="1"/>
  <c r="E126" i="1"/>
  <c r="F126" i="1"/>
  <c r="B127" i="1"/>
  <c r="C127" i="1"/>
  <c r="D127" i="1"/>
  <c r="E127" i="1"/>
  <c r="F127" i="1"/>
  <c r="B128" i="1"/>
  <c r="C128" i="1"/>
  <c r="D128" i="1"/>
  <c r="E128" i="1"/>
  <c r="F128" i="1"/>
  <c r="B129" i="1"/>
  <c r="C129" i="1"/>
  <c r="D129" i="1"/>
  <c r="E129" i="1"/>
  <c r="F129" i="1"/>
  <c r="B130" i="1"/>
  <c r="C130" i="1"/>
  <c r="D130" i="1"/>
  <c r="E130" i="1"/>
  <c r="F130" i="1"/>
  <c r="B131" i="1"/>
  <c r="C131" i="1"/>
  <c r="D131" i="1"/>
  <c r="E131" i="1"/>
  <c r="F131" i="1"/>
  <c r="B60" i="1"/>
  <c r="B62" i="1"/>
  <c r="F5" i="4"/>
  <c r="F7" i="4"/>
  <c r="F9" i="4"/>
  <c r="B36" i="3"/>
  <c r="F5" i="3"/>
  <c r="F7" i="3"/>
  <c r="F9" i="3"/>
  <c r="F5" i="1"/>
  <c r="F7" i="1"/>
  <c r="F9" i="1"/>
  <c r="B16" i="3"/>
  <c r="E15" i="4"/>
  <c r="F14" i="4"/>
  <c r="B7" i="4"/>
  <c r="G36" i="4"/>
  <c r="D36" i="4"/>
  <c r="E36" i="4"/>
  <c r="F36" i="4"/>
  <c r="B24" i="3"/>
  <c r="B36" i="1"/>
  <c r="B39" i="1"/>
  <c r="B23" i="4"/>
  <c r="B24" i="4"/>
  <c r="G16" i="4"/>
  <c r="F16" i="3"/>
  <c r="E17" i="3"/>
  <c r="F18" i="3"/>
  <c r="B49" i="4"/>
  <c r="B49" i="3"/>
  <c r="B132" i="1"/>
  <c r="C132" i="1"/>
  <c r="D132" i="1"/>
  <c r="E132" i="1"/>
  <c r="F132" i="1"/>
  <c r="B133" i="1"/>
  <c r="C133" i="1"/>
  <c r="D133" i="1"/>
  <c r="E133" i="1"/>
  <c r="F133" i="1"/>
  <c r="B134" i="1"/>
  <c r="C134" i="1"/>
  <c r="D134" i="1"/>
  <c r="E134" i="1"/>
  <c r="F134" i="1"/>
  <c r="B135" i="1"/>
  <c r="D135" i="1"/>
  <c r="C135" i="1"/>
  <c r="E135" i="1"/>
  <c r="F135" i="1"/>
  <c r="B136" i="1"/>
  <c r="D136" i="1"/>
  <c r="C136" i="1"/>
  <c r="E136" i="1"/>
  <c r="F136" i="1"/>
  <c r="B137" i="1"/>
  <c r="D137" i="1"/>
  <c r="C137" i="1"/>
  <c r="E137" i="1"/>
  <c r="F137" i="1"/>
  <c r="B138" i="1"/>
  <c r="D138" i="1"/>
  <c r="C138" i="1"/>
  <c r="E138" i="1"/>
  <c r="F138" i="1"/>
  <c r="B139" i="1"/>
  <c r="D139" i="1"/>
  <c r="C139" i="1"/>
  <c r="E139" i="1"/>
  <c r="F139" i="1"/>
  <c r="B140" i="1"/>
  <c r="D140" i="1"/>
  <c r="C140" i="1"/>
  <c r="E140" i="1"/>
  <c r="F140" i="1"/>
  <c r="B141" i="1"/>
  <c r="D141" i="1"/>
  <c r="C141" i="1"/>
  <c r="E141" i="1"/>
  <c r="F141" i="1"/>
  <c r="B142" i="1"/>
  <c r="D142" i="1"/>
  <c r="C142" i="1"/>
  <c r="E142" i="1"/>
  <c r="F142" i="1"/>
  <c r="B143" i="1"/>
  <c r="D143" i="1"/>
  <c r="C143" i="1"/>
  <c r="E143" i="1"/>
  <c r="F143" i="1"/>
  <c r="B144" i="1"/>
  <c r="D144" i="1"/>
  <c r="C144" i="1"/>
  <c r="E144" i="1"/>
  <c r="F144" i="1"/>
  <c r="B145" i="1"/>
  <c r="D145" i="1"/>
  <c r="C145" i="1"/>
  <c r="E145" i="1"/>
  <c r="F145" i="1"/>
  <c r="B146" i="1"/>
  <c r="D146" i="1"/>
  <c r="C146" i="1"/>
  <c r="E146" i="1"/>
  <c r="F146" i="1"/>
  <c r="B147" i="1"/>
  <c r="D147" i="1"/>
  <c r="C147" i="1"/>
  <c r="E147" i="1"/>
  <c r="F147" i="1"/>
  <c r="B148" i="1"/>
  <c r="D148" i="1"/>
  <c r="C148" i="1"/>
  <c r="E148" i="1"/>
  <c r="F148" i="1"/>
  <c r="B149" i="1"/>
  <c r="D149" i="1"/>
  <c r="C149" i="1"/>
  <c r="E149" i="1"/>
  <c r="F149" i="1"/>
  <c r="B150" i="1"/>
  <c r="D150" i="1"/>
  <c r="C150" i="1"/>
  <c r="E150" i="1"/>
  <c r="F150" i="1"/>
  <c r="B151" i="1"/>
  <c r="D151" i="1"/>
  <c r="C151" i="1"/>
  <c r="E151" i="1"/>
  <c r="F151" i="1"/>
  <c r="B152" i="1"/>
  <c r="D152" i="1"/>
  <c r="C152" i="1"/>
  <c r="E152" i="1"/>
  <c r="F152" i="1"/>
  <c r="B153" i="1"/>
  <c r="D153" i="1"/>
  <c r="C153" i="1"/>
  <c r="E153" i="1"/>
  <c r="F153" i="1"/>
  <c r="B154" i="1"/>
  <c r="D154" i="1"/>
  <c r="C154" i="1"/>
  <c r="E154" i="1"/>
  <c r="F154" i="1"/>
  <c r="B155" i="1"/>
  <c r="D155" i="1"/>
  <c r="C155" i="1"/>
  <c r="E155" i="1"/>
  <c r="F155" i="1"/>
  <c r="B156" i="1"/>
  <c r="D156" i="1"/>
  <c r="C156" i="1"/>
  <c r="E156" i="1"/>
  <c r="F156" i="1"/>
  <c r="B157" i="1"/>
  <c r="D157" i="1"/>
  <c r="C157" i="1"/>
  <c r="E157" i="1"/>
  <c r="F157" i="1"/>
  <c r="B158" i="1"/>
  <c r="D158" i="1"/>
  <c r="C158" i="1"/>
  <c r="E158" i="1"/>
  <c r="F158" i="1"/>
  <c r="B159" i="1"/>
  <c r="D159" i="1"/>
  <c r="C159" i="1"/>
  <c r="E159" i="1"/>
  <c r="F159" i="1"/>
  <c r="B160" i="1"/>
  <c r="D160" i="1"/>
  <c r="C160" i="1"/>
  <c r="E160" i="1"/>
  <c r="F160" i="1"/>
  <c r="B161" i="1"/>
  <c r="D161" i="1"/>
  <c r="C161" i="1"/>
  <c r="E161" i="1"/>
  <c r="F161" i="1"/>
  <c r="B162" i="1"/>
  <c r="D162" i="1"/>
  <c r="C162" i="1"/>
  <c r="E162" i="1"/>
  <c r="F162" i="1"/>
  <c r="B163" i="1"/>
  <c r="D163" i="1"/>
  <c r="C163" i="1"/>
  <c r="E163" i="1"/>
  <c r="F163" i="1"/>
  <c r="B164" i="1"/>
  <c r="D164" i="1"/>
  <c r="C164" i="1"/>
  <c r="E164" i="1"/>
  <c r="F164" i="1"/>
  <c r="B165" i="1"/>
  <c r="D165" i="1"/>
  <c r="C165" i="1"/>
  <c r="E165" i="1"/>
  <c r="F165" i="1"/>
  <c r="B166" i="1"/>
  <c r="D166" i="1"/>
  <c r="C166" i="1"/>
  <c r="E166" i="1"/>
  <c r="F166" i="1"/>
  <c r="B167" i="1"/>
  <c r="D167" i="1"/>
  <c r="C167" i="1"/>
  <c r="E167" i="1"/>
  <c r="F167" i="1"/>
  <c r="B168" i="1"/>
  <c r="D168" i="1"/>
  <c r="C168" i="1"/>
  <c r="E168" i="1"/>
  <c r="F168" i="1"/>
  <c r="B169" i="1"/>
  <c r="D169" i="1"/>
  <c r="C169" i="1"/>
  <c r="E169" i="1"/>
  <c r="F169" i="1"/>
  <c r="B170" i="1"/>
  <c r="D170" i="1"/>
  <c r="C170" i="1"/>
  <c r="E170" i="1"/>
  <c r="F170" i="1"/>
  <c r="B171" i="1"/>
  <c r="D171" i="1"/>
  <c r="C171" i="1"/>
  <c r="E171" i="1"/>
  <c r="F171" i="1"/>
  <c r="B172" i="1"/>
  <c r="D172" i="1"/>
  <c r="C172" i="1"/>
  <c r="E172" i="1"/>
  <c r="F172" i="1"/>
  <c r="B173" i="1"/>
  <c r="D173" i="1"/>
  <c r="C173" i="1"/>
  <c r="E173" i="1"/>
  <c r="F173" i="1"/>
  <c r="B174" i="1"/>
  <c r="D174" i="1"/>
  <c r="C174" i="1"/>
  <c r="E174" i="1"/>
  <c r="F174" i="1"/>
  <c r="B175" i="1"/>
  <c r="D175" i="1"/>
  <c r="C175" i="1"/>
  <c r="E175" i="1"/>
  <c r="F175" i="1"/>
  <c r="B176" i="1"/>
  <c r="D176" i="1"/>
  <c r="C176" i="1"/>
  <c r="E176" i="1"/>
  <c r="F176" i="1"/>
  <c r="B177" i="1"/>
  <c r="D177" i="1"/>
  <c r="C177" i="1"/>
  <c r="E177" i="1"/>
  <c r="F177" i="1"/>
  <c r="B178" i="1"/>
  <c r="D178" i="1"/>
  <c r="C178" i="1"/>
  <c r="E178" i="1"/>
  <c r="F178" i="1"/>
  <c r="B179" i="1"/>
  <c r="D179" i="1"/>
  <c r="C179" i="1"/>
  <c r="E179" i="1"/>
  <c r="F179" i="1"/>
  <c r="B180" i="1"/>
  <c r="D180" i="1"/>
  <c r="C180" i="1"/>
  <c r="E180" i="1"/>
  <c r="F180" i="1"/>
  <c r="B181" i="1"/>
  <c r="D181" i="1"/>
  <c r="C181" i="1"/>
  <c r="E181" i="1"/>
  <c r="F181" i="1"/>
  <c r="B182" i="1"/>
  <c r="D182" i="1"/>
  <c r="C182" i="1"/>
  <c r="E182" i="1"/>
  <c r="F182" i="1"/>
  <c r="B183" i="1"/>
  <c r="D183" i="1"/>
  <c r="C183" i="1"/>
  <c r="E183" i="1"/>
  <c r="F183" i="1"/>
  <c r="B184" i="1"/>
  <c r="D184" i="1"/>
  <c r="C184" i="1"/>
  <c r="E184" i="1"/>
  <c r="F184" i="1"/>
  <c r="B185" i="1"/>
  <c r="D185" i="1"/>
  <c r="C185" i="1"/>
  <c r="E185" i="1"/>
  <c r="F185" i="1"/>
  <c r="B186" i="1"/>
  <c r="D186" i="1"/>
  <c r="C186" i="1"/>
  <c r="E186" i="1"/>
  <c r="F186" i="1"/>
  <c r="B187" i="1"/>
  <c r="D187" i="1"/>
  <c r="C187" i="1"/>
  <c r="E187" i="1"/>
  <c r="F187" i="1"/>
  <c r="B188" i="1"/>
  <c r="D188" i="1"/>
  <c r="C188" i="1"/>
  <c r="E188" i="1"/>
  <c r="F188" i="1"/>
  <c r="B189" i="1"/>
  <c r="D189" i="1"/>
  <c r="C189" i="1"/>
  <c r="E189" i="1"/>
  <c r="F189" i="1"/>
  <c r="B190" i="1"/>
  <c r="D190" i="1"/>
  <c r="C190" i="1"/>
  <c r="E190" i="1"/>
  <c r="F190" i="1"/>
  <c r="B191" i="1"/>
  <c r="D191" i="1"/>
  <c r="C191" i="1"/>
  <c r="E191" i="1"/>
  <c r="F191" i="1"/>
  <c r="B192" i="1"/>
  <c r="D192" i="1"/>
  <c r="C192" i="1"/>
  <c r="E192" i="1"/>
  <c r="F192" i="1"/>
  <c r="B193" i="1"/>
  <c r="D193" i="1"/>
  <c r="C193" i="1"/>
  <c r="E193" i="1"/>
  <c r="F193" i="1"/>
  <c r="B194" i="1"/>
  <c r="D194" i="1"/>
  <c r="C194" i="1"/>
  <c r="E194" i="1"/>
  <c r="F194" i="1"/>
  <c r="B195" i="1"/>
  <c r="D195" i="1"/>
  <c r="C195" i="1"/>
  <c r="E195" i="1"/>
  <c r="F195" i="1"/>
  <c r="B196" i="1"/>
  <c r="D196" i="1"/>
  <c r="C196" i="1"/>
  <c r="E196" i="1"/>
  <c r="F196" i="1"/>
  <c r="B197" i="1"/>
  <c r="D197" i="1"/>
  <c r="C197" i="1"/>
  <c r="E197" i="1"/>
  <c r="F197" i="1"/>
  <c r="B198" i="1"/>
  <c r="D198" i="1"/>
  <c r="C198" i="1"/>
  <c r="E198" i="1"/>
  <c r="F198" i="1"/>
  <c r="B199" i="1"/>
  <c r="D199" i="1"/>
  <c r="C199" i="1"/>
  <c r="E199" i="1"/>
  <c r="F199" i="1"/>
  <c r="B200" i="1"/>
  <c r="D200" i="1"/>
  <c r="C200" i="1"/>
  <c r="E200" i="1"/>
  <c r="F200" i="1"/>
  <c r="B201" i="1"/>
  <c r="D201" i="1"/>
  <c r="C201" i="1"/>
  <c r="E201" i="1"/>
  <c r="F201" i="1"/>
  <c r="B202" i="1"/>
  <c r="D202" i="1"/>
  <c r="C202" i="1"/>
  <c r="E202" i="1"/>
  <c r="F202" i="1"/>
  <c r="B203" i="1"/>
  <c r="D203" i="1"/>
  <c r="C203" i="1"/>
  <c r="E203" i="1"/>
  <c r="F203" i="1"/>
  <c r="B204" i="1"/>
  <c r="D204" i="1"/>
  <c r="C204" i="1"/>
  <c r="E204" i="1"/>
  <c r="F204" i="1"/>
  <c r="B205" i="1"/>
  <c r="D205" i="1"/>
  <c r="C205" i="1"/>
  <c r="E205" i="1"/>
  <c r="F205" i="1"/>
  <c r="B206" i="1"/>
  <c r="D206" i="1"/>
  <c r="C206" i="1"/>
  <c r="E206" i="1"/>
  <c r="F206" i="1"/>
  <c r="B207" i="1"/>
  <c r="D207" i="1"/>
  <c r="C207" i="1"/>
  <c r="E207" i="1"/>
  <c r="F207" i="1"/>
  <c r="B208" i="1"/>
  <c r="D208" i="1"/>
  <c r="C208" i="1"/>
  <c r="E208" i="1"/>
  <c r="F208" i="1"/>
  <c r="B209" i="1"/>
  <c r="D209" i="1"/>
  <c r="C209" i="1"/>
  <c r="E209" i="1"/>
  <c r="F209" i="1"/>
  <c r="B210" i="1"/>
  <c r="D210" i="1"/>
  <c r="C210" i="1"/>
  <c r="E210" i="1"/>
  <c r="F210" i="1"/>
  <c r="B211" i="1"/>
  <c r="D211" i="1"/>
  <c r="C211" i="1"/>
  <c r="E211" i="1"/>
  <c r="F211" i="1"/>
  <c r="B212" i="1"/>
  <c r="D212" i="1"/>
  <c r="C212" i="1"/>
  <c r="E212" i="1"/>
  <c r="F212" i="1"/>
  <c r="B213" i="1"/>
  <c r="D213" i="1"/>
  <c r="C213" i="1"/>
  <c r="E213" i="1"/>
  <c r="F213" i="1"/>
  <c r="B214" i="1"/>
  <c r="D214" i="1"/>
  <c r="C214" i="1"/>
  <c r="E214" i="1"/>
  <c r="F214" i="1"/>
  <c r="B215" i="1"/>
  <c r="D215" i="1"/>
  <c r="C215" i="1"/>
  <c r="E215" i="1"/>
  <c r="F215" i="1"/>
  <c r="B216" i="1"/>
  <c r="D216" i="1"/>
  <c r="C216" i="1"/>
  <c r="E216" i="1"/>
  <c r="F216" i="1"/>
  <c r="B217" i="1"/>
  <c r="D217" i="1"/>
  <c r="C217" i="1"/>
  <c r="E217" i="1"/>
  <c r="F217" i="1"/>
  <c r="B218" i="1"/>
  <c r="D218" i="1"/>
  <c r="C218" i="1"/>
  <c r="E218" i="1"/>
  <c r="F218" i="1"/>
  <c r="B219" i="1"/>
  <c r="D219" i="1"/>
  <c r="C219" i="1"/>
  <c r="E219" i="1"/>
  <c r="F219" i="1"/>
  <c r="B220" i="1"/>
  <c r="D220" i="1"/>
  <c r="C220" i="1"/>
  <c r="E220" i="1"/>
  <c r="F220" i="1"/>
  <c r="B221" i="1"/>
  <c r="D221" i="1"/>
  <c r="C221" i="1"/>
  <c r="E221" i="1"/>
  <c r="F221" i="1"/>
  <c r="B222" i="1"/>
  <c r="D222" i="1"/>
  <c r="C222" i="1"/>
  <c r="E222" i="1"/>
  <c r="F222" i="1"/>
  <c r="B223" i="1"/>
  <c r="D223" i="1"/>
  <c r="C223" i="1"/>
  <c r="E223" i="1"/>
  <c r="F223" i="1"/>
  <c r="B224" i="1"/>
  <c r="D224" i="1"/>
  <c r="C224" i="1"/>
  <c r="E224" i="1"/>
  <c r="F224" i="1"/>
  <c r="B225" i="1"/>
  <c r="D225" i="1"/>
  <c r="C225" i="1"/>
  <c r="E225" i="1"/>
  <c r="F225" i="1"/>
  <c r="B226" i="1"/>
  <c r="D226" i="1"/>
  <c r="C226" i="1"/>
  <c r="E226" i="1"/>
  <c r="F226" i="1"/>
  <c r="B227" i="1"/>
  <c r="D227" i="1"/>
  <c r="C227" i="1"/>
  <c r="E227" i="1"/>
  <c r="F227" i="1"/>
  <c r="B228" i="1"/>
  <c r="D228" i="1"/>
  <c r="C228" i="1"/>
  <c r="E228" i="1"/>
  <c r="F228" i="1"/>
  <c r="B229" i="1"/>
  <c r="D229" i="1"/>
  <c r="C229" i="1"/>
  <c r="E229" i="1"/>
  <c r="F229" i="1"/>
  <c r="B230" i="1"/>
  <c r="D230" i="1"/>
  <c r="C230" i="1"/>
  <c r="E230" i="1"/>
  <c r="F230" i="1"/>
  <c r="B231" i="1"/>
  <c r="D231" i="1"/>
  <c r="C231" i="1"/>
  <c r="E231" i="1"/>
  <c r="F231" i="1"/>
  <c r="B232" i="1"/>
  <c r="D232" i="1"/>
  <c r="C232" i="1"/>
  <c r="E232" i="1"/>
  <c r="F232" i="1"/>
  <c r="B233" i="1"/>
  <c r="D233" i="1"/>
  <c r="C233" i="1"/>
  <c r="E233" i="1"/>
  <c r="F233" i="1"/>
  <c r="B234" i="1"/>
  <c r="D234" i="1"/>
  <c r="C234" i="1"/>
  <c r="E234" i="1"/>
  <c r="F234" i="1"/>
  <c r="B235" i="1"/>
  <c r="D235" i="1"/>
  <c r="C235" i="1"/>
  <c r="E235" i="1"/>
  <c r="F235" i="1"/>
  <c r="B236" i="1"/>
  <c r="D236" i="1"/>
  <c r="C236" i="1"/>
  <c r="E236" i="1"/>
  <c r="F236" i="1"/>
  <c r="B237" i="1"/>
  <c r="D237" i="1"/>
  <c r="C237" i="1"/>
  <c r="E237" i="1"/>
  <c r="F237" i="1"/>
  <c r="B238" i="1"/>
  <c r="D238" i="1"/>
  <c r="C238" i="1"/>
  <c r="E238" i="1"/>
  <c r="F238" i="1"/>
  <c r="B239" i="1"/>
  <c r="D239" i="1"/>
  <c r="C239" i="1"/>
  <c r="E239" i="1"/>
  <c r="F239" i="1"/>
  <c r="B240" i="1"/>
  <c r="D240" i="1"/>
  <c r="C240" i="1"/>
  <c r="E240" i="1"/>
  <c r="F240" i="1"/>
  <c r="B241" i="1"/>
  <c r="D241" i="1"/>
  <c r="C241" i="1"/>
  <c r="E241" i="1"/>
  <c r="F241" i="1"/>
  <c r="B242" i="1"/>
  <c r="D242" i="1"/>
  <c r="C242" i="1"/>
  <c r="E242" i="1"/>
  <c r="F242" i="1"/>
  <c r="B243" i="1"/>
  <c r="D243" i="1"/>
  <c r="C243" i="1"/>
  <c r="E243" i="1"/>
  <c r="F243" i="1"/>
  <c r="B244" i="1"/>
  <c r="D244" i="1"/>
  <c r="C244" i="1"/>
  <c r="E244" i="1"/>
  <c r="F244" i="1"/>
  <c r="B245" i="1"/>
  <c r="D245" i="1"/>
  <c r="C245" i="1"/>
  <c r="E245" i="1"/>
  <c r="F245" i="1"/>
  <c r="B246" i="1"/>
  <c r="D246" i="1"/>
  <c r="C246" i="1"/>
  <c r="E246" i="1"/>
  <c r="F246" i="1"/>
  <c r="B247" i="1"/>
  <c r="D247" i="1"/>
  <c r="C247" i="1"/>
  <c r="E247" i="1"/>
  <c r="F247" i="1"/>
  <c r="B248" i="1"/>
  <c r="D248" i="1"/>
  <c r="C248" i="1"/>
  <c r="E248" i="1"/>
  <c r="F248" i="1"/>
  <c r="B249" i="1"/>
  <c r="D249" i="1"/>
  <c r="C249" i="1"/>
  <c r="E249" i="1"/>
  <c r="F249" i="1"/>
  <c r="B250" i="1"/>
  <c r="D250" i="1"/>
  <c r="C250" i="1"/>
  <c r="E250" i="1"/>
  <c r="F250" i="1"/>
  <c r="B251" i="1"/>
  <c r="D251" i="1"/>
  <c r="C251" i="1"/>
  <c r="E251" i="1"/>
  <c r="F251" i="1"/>
  <c r="B252" i="1"/>
  <c r="D252" i="1"/>
  <c r="C252" i="1"/>
  <c r="E252" i="1"/>
  <c r="F252" i="1"/>
  <c r="B253" i="1"/>
  <c r="D253" i="1"/>
  <c r="C253" i="1"/>
  <c r="E253" i="1"/>
  <c r="F253" i="1"/>
  <c r="B254" i="1"/>
  <c r="D254" i="1"/>
  <c r="C254" i="1"/>
  <c r="E254" i="1"/>
  <c r="F254" i="1"/>
  <c r="B255" i="1"/>
  <c r="D255" i="1"/>
  <c r="C255" i="1"/>
  <c r="E255" i="1"/>
  <c r="F255" i="1"/>
  <c r="B256" i="1"/>
  <c r="D256" i="1"/>
  <c r="C256" i="1"/>
  <c r="E256" i="1"/>
  <c r="F256" i="1"/>
  <c r="B257" i="1"/>
  <c r="D257" i="1"/>
  <c r="C257" i="1"/>
  <c r="E257" i="1"/>
  <c r="F257" i="1"/>
  <c r="B258" i="1"/>
  <c r="D258" i="1"/>
  <c r="C258" i="1"/>
  <c r="E258" i="1"/>
  <c r="F258" i="1"/>
  <c r="B259" i="1"/>
  <c r="D259" i="1"/>
  <c r="C259" i="1"/>
  <c r="E259" i="1"/>
  <c r="F259" i="1"/>
  <c r="B260" i="1"/>
  <c r="D260" i="1"/>
  <c r="C260" i="1"/>
  <c r="E260" i="1"/>
  <c r="F260" i="1"/>
  <c r="B261" i="1"/>
  <c r="D261" i="1"/>
  <c r="C261" i="1"/>
  <c r="E261" i="1"/>
  <c r="F261" i="1"/>
  <c r="B262" i="1"/>
  <c r="D262" i="1"/>
  <c r="C262" i="1"/>
  <c r="E262" i="1"/>
  <c r="F262" i="1"/>
  <c r="B263" i="1"/>
  <c r="D263" i="1"/>
  <c r="C263" i="1"/>
  <c r="E263" i="1"/>
  <c r="F263" i="1"/>
  <c r="B264" i="1"/>
  <c r="D264" i="1"/>
  <c r="C264" i="1"/>
  <c r="E264" i="1"/>
  <c r="F264" i="1"/>
  <c r="B265" i="1"/>
  <c r="D265" i="1"/>
  <c r="C265" i="1"/>
  <c r="E265" i="1"/>
  <c r="F265" i="1"/>
  <c r="B266" i="1"/>
  <c r="D266" i="1"/>
  <c r="C266" i="1"/>
  <c r="E266" i="1"/>
  <c r="F266" i="1"/>
  <c r="B267" i="1"/>
  <c r="D267" i="1"/>
  <c r="C267" i="1"/>
  <c r="E267" i="1"/>
  <c r="F267" i="1"/>
  <c r="B268" i="1"/>
  <c r="D268" i="1"/>
  <c r="C268" i="1"/>
  <c r="E268" i="1"/>
  <c r="F268" i="1"/>
  <c r="B269" i="1"/>
  <c r="D269" i="1"/>
  <c r="C269" i="1"/>
  <c r="E269" i="1"/>
  <c r="F269" i="1"/>
  <c r="B270" i="1"/>
  <c r="D270" i="1"/>
  <c r="C270" i="1"/>
  <c r="E270" i="1"/>
  <c r="F270" i="1"/>
  <c r="B271" i="1"/>
  <c r="D271" i="1"/>
  <c r="C271" i="1"/>
  <c r="E271" i="1"/>
  <c r="F271" i="1"/>
  <c r="B272" i="1"/>
  <c r="D272" i="1"/>
  <c r="C272" i="1"/>
  <c r="E272" i="1"/>
  <c r="F272" i="1"/>
  <c r="B273" i="1"/>
  <c r="D273" i="1"/>
  <c r="C273" i="1"/>
  <c r="E273" i="1"/>
  <c r="F273" i="1"/>
  <c r="B274" i="1"/>
  <c r="D274" i="1"/>
  <c r="C274" i="1"/>
  <c r="E274" i="1"/>
  <c r="F274" i="1"/>
  <c r="B275" i="1"/>
  <c r="D275" i="1"/>
  <c r="C275" i="1"/>
  <c r="E275" i="1"/>
  <c r="F275" i="1"/>
  <c r="B276" i="1"/>
  <c r="D276" i="1"/>
  <c r="C276" i="1"/>
  <c r="E276" i="1"/>
  <c r="F276" i="1"/>
  <c r="B277" i="1"/>
  <c r="D277" i="1"/>
  <c r="C277" i="1"/>
  <c r="E277" i="1"/>
  <c r="F277" i="1"/>
  <c r="B278" i="1"/>
  <c r="D278" i="1"/>
  <c r="C278" i="1"/>
  <c r="E278" i="1"/>
  <c r="F278" i="1"/>
  <c r="B279" i="1"/>
  <c r="D279" i="1"/>
  <c r="C279" i="1"/>
  <c r="E279" i="1"/>
  <c r="F279" i="1"/>
  <c r="B280" i="1"/>
  <c r="D280" i="1"/>
  <c r="C280" i="1"/>
  <c r="E280" i="1"/>
  <c r="F280" i="1"/>
  <c r="B281" i="1"/>
  <c r="D281" i="1"/>
  <c r="C281" i="1"/>
  <c r="E281" i="1"/>
  <c r="F281" i="1"/>
  <c r="B282" i="1"/>
  <c r="D282" i="1"/>
  <c r="C282" i="1"/>
  <c r="E282" i="1"/>
  <c r="F282" i="1"/>
  <c r="B283" i="1"/>
  <c r="D283" i="1"/>
  <c r="C283" i="1"/>
  <c r="E283" i="1"/>
  <c r="F283" i="1"/>
  <c r="B284" i="1"/>
  <c r="D284" i="1"/>
  <c r="C284" i="1"/>
  <c r="E284" i="1"/>
  <c r="F284" i="1"/>
  <c r="B285" i="1"/>
  <c r="D285" i="1"/>
  <c r="C285" i="1"/>
  <c r="E285" i="1"/>
  <c r="F285" i="1"/>
  <c r="B286" i="1"/>
  <c r="D286" i="1"/>
  <c r="C286" i="1"/>
  <c r="E286" i="1"/>
  <c r="F286" i="1"/>
  <c r="B287" i="1"/>
  <c r="D287" i="1"/>
  <c r="C287" i="1"/>
  <c r="E287" i="1"/>
  <c r="F287" i="1"/>
  <c r="B288" i="1"/>
  <c r="D288" i="1"/>
  <c r="C288" i="1"/>
  <c r="E288" i="1"/>
  <c r="F288" i="1"/>
  <c r="B289" i="1"/>
  <c r="D289" i="1"/>
  <c r="C289" i="1"/>
  <c r="E289" i="1"/>
  <c r="F289" i="1"/>
  <c r="B290" i="1"/>
  <c r="D290" i="1"/>
  <c r="C290" i="1"/>
  <c r="E290" i="1"/>
  <c r="F290" i="1"/>
  <c r="B291" i="1"/>
  <c r="D291" i="1"/>
  <c r="C291" i="1"/>
  <c r="E291" i="1"/>
  <c r="F291" i="1"/>
  <c r="B292" i="1"/>
  <c r="D292" i="1"/>
  <c r="C292" i="1"/>
  <c r="E292" i="1"/>
  <c r="F292" i="1"/>
  <c r="B293" i="1"/>
  <c r="D293" i="1"/>
  <c r="C293" i="1"/>
  <c r="E293" i="1"/>
  <c r="F293" i="1"/>
  <c r="B294" i="1"/>
  <c r="D294" i="1"/>
  <c r="C294" i="1"/>
  <c r="E294" i="1"/>
  <c r="F294" i="1"/>
  <c r="B295" i="1"/>
  <c r="D295" i="1"/>
  <c r="C295" i="1"/>
  <c r="E295" i="1"/>
  <c r="F295" i="1"/>
  <c r="B296" i="1"/>
  <c r="D296" i="1"/>
  <c r="C296" i="1"/>
  <c r="E296" i="1"/>
  <c r="F296" i="1"/>
  <c r="B297" i="1"/>
  <c r="D297" i="1"/>
  <c r="C297" i="1"/>
  <c r="E297" i="1"/>
  <c r="F297" i="1"/>
  <c r="B298" i="1"/>
  <c r="D298" i="1"/>
  <c r="C298" i="1"/>
  <c r="E298" i="1"/>
  <c r="F298" i="1"/>
  <c r="B299" i="1"/>
  <c r="D299" i="1"/>
  <c r="C299" i="1"/>
  <c r="E299" i="1"/>
  <c r="F299" i="1"/>
  <c r="B300" i="1"/>
  <c r="D300" i="1"/>
  <c r="C300" i="1"/>
  <c r="E300" i="1"/>
  <c r="F300" i="1"/>
  <c r="B301" i="1"/>
  <c r="D301" i="1"/>
  <c r="C301" i="1"/>
  <c r="E301" i="1"/>
  <c r="F301" i="1"/>
  <c r="B302" i="1"/>
  <c r="D302" i="1"/>
  <c r="C302" i="1"/>
  <c r="E302" i="1"/>
  <c r="F302" i="1"/>
  <c r="B303" i="1"/>
  <c r="D303" i="1"/>
  <c r="C303" i="1"/>
  <c r="E303" i="1"/>
  <c r="F303" i="1"/>
  <c r="B304" i="1"/>
  <c r="D304" i="1"/>
  <c r="C304" i="1"/>
  <c r="E304" i="1"/>
  <c r="F304" i="1"/>
  <c r="B305" i="1"/>
  <c r="D305" i="1"/>
  <c r="C305" i="1"/>
  <c r="E305" i="1"/>
  <c r="F305" i="1"/>
  <c r="B306" i="1"/>
  <c r="D306" i="1"/>
  <c r="C306" i="1"/>
  <c r="E306" i="1"/>
  <c r="F306" i="1"/>
  <c r="B307" i="1"/>
  <c r="D307" i="1"/>
  <c r="C307" i="1"/>
  <c r="E307" i="1"/>
  <c r="F307" i="1"/>
  <c r="B308" i="1"/>
  <c r="D308" i="1"/>
  <c r="C308" i="1"/>
  <c r="E308" i="1"/>
  <c r="F308" i="1"/>
  <c r="B309" i="1"/>
  <c r="D309" i="1"/>
  <c r="C309" i="1"/>
  <c r="E309" i="1"/>
  <c r="F309" i="1"/>
  <c r="B310" i="1"/>
  <c r="D310" i="1"/>
  <c r="C310" i="1"/>
  <c r="E310" i="1"/>
  <c r="F310" i="1"/>
  <c r="B311" i="1"/>
  <c r="D311" i="1"/>
  <c r="C311" i="1"/>
  <c r="E311" i="1"/>
  <c r="F311" i="1"/>
  <c r="B312" i="1"/>
  <c r="D312" i="1"/>
  <c r="C312" i="1"/>
  <c r="E312" i="1"/>
  <c r="F312" i="1"/>
  <c r="B313" i="1"/>
  <c r="D313" i="1"/>
  <c r="C313" i="1"/>
  <c r="E313" i="1"/>
  <c r="F313" i="1"/>
  <c r="B314" i="1"/>
  <c r="D314" i="1"/>
  <c r="C314" i="1"/>
  <c r="E314" i="1"/>
  <c r="F314" i="1"/>
  <c r="B315" i="1"/>
  <c r="D315" i="1"/>
  <c r="C315" i="1"/>
  <c r="E315" i="1"/>
  <c r="F315" i="1"/>
  <c r="B316" i="1"/>
  <c r="D316" i="1"/>
  <c r="C316" i="1"/>
  <c r="E316" i="1"/>
  <c r="F316" i="1"/>
  <c r="B317" i="1"/>
  <c r="D317" i="1"/>
  <c r="C317" i="1"/>
  <c r="E317" i="1"/>
  <c r="F317" i="1"/>
  <c r="B318" i="1"/>
  <c r="D318" i="1"/>
  <c r="C318" i="1"/>
  <c r="E318" i="1"/>
  <c r="F318" i="1"/>
  <c r="B319" i="1"/>
  <c r="D319" i="1"/>
  <c r="C319" i="1"/>
  <c r="E319" i="1"/>
  <c r="F319" i="1"/>
  <c r="B320" i="1"/>
  <c r="D320" i="1"/>
  <c r="C320" i="1"/>
  <c r="E320" i="1"/>
  <c r="F320" i="1"/>
  <c r="B321" i="1"/>
  <c r="D321" i="1"/>
  <c r="C321" i="1"/>
  <c r="E321" i="1"/>
  <c r="F321" i="1"/>
  <c r="B322" i="1"/>
  <c r="D322" i="1"/>
  <c r="C322" i="1"/>
  <c r="E322" i="1"/>
  <c r="F322" i="1"/>
  <c r="B323" i="1"/>
  <c r="D323" i="1"/>
  <c r="C323" i="1"/>
  <c r="E323" i="1"/>
  <c r="F323" i="1"/>
  <c r="B324" i="1"/>
  <c r="D324" i="1"/>
  <c r="C324" i="1"/>
  <c r="E324" i="1"/>
  <c r="F324" i="1"/>
  <c r="B325" i="1"/>
  <c r="D325" i="1"/>
  <c r="C325" i="1"/>
  <c r="E325" i="1"/>
  <c r="F325" i="1"/>
  <c r="B326" i="1"/>
  <c r="D326" i="1"/>
  <c r="C326" i="1"/>
  <c r="E326" i="1"/>
  <c r="F326" i="1"/>
  <c r="B327" i="1"/>
  <c r="D327" i="1"/>
  <c r="C327" i="1"/>
  <c r="E327" i="1"/>
  <c r="F327" i="1"/>
  <c r="B328" i="1"/>
  <c r="D328" i="1"/>
  <c r="C328" i="1"/>
  <c r="E328" i="1"/>
  <c r="F328" i="1"/>
  <c r="B329" i="1"/>
  <c r="D329" i="1"/>
  <c r="C329" i="1"/>
  <c r="E329" i="1"/>
  <c r="F329" i="1"/>
  <c r="B330" i="1"/>
  <c r="D330" i="1"/>
  <c r="C330" i="1"/>
  <c r="E330" i="1"/>
  <c r="F330" i="1"/>
  <c r="B331" i="1"/>
  <c r="D331" i="1"/>
  <c r="C331" i="1"/>
  <c r="E331" i="1"/>
  <c r="F331" i="1"/>
  <c r="B332" i="1"/>
  <c r="D332" i="1"/>
  <c r="C332" i="1"/>
  <c r="E332" i="1"/>
  <c r="F332" i="1"/>
  <c r="B333" i="1"/>
  <c r="D333" i="1"/>
  <c r="C333" i="1"/>
  <c r="E333" i="1"/>
  <c r="F333" i="1"/>
  <c r="B334" i="1"/>
  <c r="D334" i="1"/>
  <c r="C334" i="1"/>
  <c r="E334" i="1"/>
  <c r="F334" i="1"/>
  <c r="B335" i="1"/>
  <c r="D335" i="1"/>
  <c r="C335" i="1"/>
  <c r="E335" i="1"/>
  <c r="F335" i="1"/>
  <c r="B336" i="1"/>
  <c r="D336" i="1"/>
  <c r="C336" i="1"/>
  <c r="E336" i="1"/>
  <c r="F336" i="1"/>
  <c r="B337" i="1"/>
  <c r="D337" i="1"/>
  <c r="C337" i="1"/>
  <c r="E337" i="1"/>
  <c r="F337" i="1"/>
  <c r="B338" i="1"/>
  <c r="D338" i="1"/>
  <c r="C338" i="1"/>
  <c r="E338" i="1"/>
  <c r="F338" i="1"/>
  <c r="B339" i="1"/>
  <c r="D339" i="1"/>
  <c r="C339" i="1"/>
  <c r="E339" i="1"/>
  <c r="F339" i="1"/>
  <c r="B340" i="1"/>
  <c r="D340" i="1"/>
  <c r="C340" i="1"/>
  <c r="E340" i="1"/>
  <c r="F340" i="1"/>
  <c r="B341" i="1"/>
  <c r="D341" i="1"/>
  <c r="C341" i="1"/>
  <c r="E341" i="1"/>
  <c r="F341" i="1"/>
  <c r="B342" i="1"/>
  <c r="D342" i="1"/>
  <c r="C342" i="1"/>
  <c r="E342" i="1"/>
  <c r="F342" i="1"/>
  <c r="B343" i="1"/>
  <c r="D343" i="1"/>
  <c r="C343" i="1"/>
  <c r="E343" i="1"/>
  <c r="F343" i="1"/>
  <c r="B344" i="1"/>
  <c r="D344" i="1"/>
  <c r="C344" i="1"/>
  <c r="E344" i="1"/>
  <c r="F344" i="1"/>
  <c r="B345" i="1"/>
  <c r="D345" i="1"/>
  <c r="C345" i="1"/>
  <c r="E345" i="1"/>
  <c r="F345" i="1"/>
  <c r="B346" i="1"/>
  <c r="D346" i="1"/>
  <c r="C346" i="1"/>
  <c r="E346" i="1"/>
  <c r="F346" i="1"/>
  <c r="B347" i="1"/>
  <c r="D347" i="1"/>
  <c r="C347" i="1"/>
  <c r="E347" i="1"/>
  <c r="F347" i="1"/>
  <c r="B348" i="1"/>
  <c r="D348" i="1"/>
  <c r="C348" i="1"/>
  <c r="E348" i="1"/>
  <c r="F348" i="1"/>
  <c r="B349" i="1"/>
  <c r="D349" i="1"/>
  <c r="C349" i="1"/>
  <c r="E349" i="1"/>
  <c r="F349" i="1"/>
  <c r="B350" i="1"/>
  <c r="D350" i="1"/>
  <c r="C350" i="1"/>
  <c r="E350" i="1"/>
  <c r="F350" i="1"/>
  <c r="B351" i="1"/>
  <c r="D351" i="1"/>
  <c r="C351" i="1"/>
  <c r="E351" i="1"/>
  <c r="F351" i="1"/>
  <c r="B352" i="1"/>
  <c r="D352" i="1"/>
  <c r="C352" i="1"/>
  <c r="E352" i="1"/>
  <c r="F352" i="1"/>
  <c r="B353" i="1"/>
  <c r="D353" i="1"/>
  <c r="C353" i="1"/>
  <c r="E353" i="1"/>
  <c r="F353" i="1"/>
  <c r="B354" i="1"/>
  <c r="D354" i="1"/>
  <c r="C354" i="1"/>
  <c r="E354" i="1"/>
  <c r="F354" i="1"/>
  <c r="B355" i="1"/>
  <c r="D355" i="1"/>
  <c r="C355" i="1"/>
  <c r="E355" i="1"/>
  <c r="F355" i="1"/>
  <c r="B356" i="1"/>
  <c r="D356" i="1"/>
  <c r="C356" i="1"/>
  <c r="E356" i="1"/>
  <c r="F356" i="1"/>
  <c r="B357" i="1"/>
  <c r="D357" i="1"/>
  <c r="C357" i="1"/>
  <c r="E357" i="1"/>
  <c r="F357" i="1"/>
  <c r="B358" i="1"/>
  <c r="D358" i="1"/>
  <c r="C358" i="1"/>
  <c r="E358" i="1"/>
  <c r="F358" i="1"/>
  <c r="B359" i="1"/>
  <c r="D359" i="1"/>
  <c r="C359" i="1"/>
  <c r="E359" i="1"/>
  <c r="F359" i="1"/>
  <c r="B360" i="1"/>
  <c r="D360" i="1"/>
  <c r="C360" i="1"/>
  <c r="E360" i="1"/>
  <c r="F360" i="1"/>
  <c r="B361" i="1"/>
  <c r="D361" i="1"/>
  <c r="C361" i="1"/>
  <c r="E361" i="1"/>
  <c r="F361" i="1"/>
  <c r="B362" i="1"/>
  <c r="D362" i="1"/>
  <c r="C362" i="1"/>
  <c r="E362" i="1"/>
  <c r="F362" i="1"/>
  <c r="B363" i="1"/>
  <c r="D363" i="1"/>
  <c r="C363" i="1"/>
  <c r="E363" i="1"/>
  <c r="F363" i="1"/>
  <c r="B364" i="1"/>
  <c r="D364" i="1"/>
  <c r="C364" i="1"/>
  <c r="E364" i="1"/>
  <c r="F364" i="1"/>
  <c r="B365" i="1"/>
  <c r="D365" i="1"/>
  <c r="C365" i="1"/>
  <c r="E365" i="1"/>
  <c r="F365" i="1"/>
  <c r="B366" i="1"/>
  <c r="D366" i="1"/>
  <c r="C366" i="1"/>
  <c r="E366" i="1"/>
  <c r="F366" i="1"/>
  <c r="B367" i="1"/>
  <c r="D367" i="1"/>
  <c r="C367" i="1"/>
  <c r="E367" i="1"/>
  <c r="F367" i="1"/>
  <c r="B368" i="1"/>
  <c r="D368" i="1"/>
  <c r="C368" i="1"/>
  <c r="E368" i="1"/>
  <c r="F368" i="1"/>
  <c r="B369" i="1"/>
  <c r="D369" i="1"/>
  <c r="C369" i="1"/>
  <c r="E369" i="1"/>
  <c r="F369" i="1"/>
  <c r="B370" i="1"/>
  <c r="D370" i="1"/>
  <c r="C370" i="1"/>
  <c r="E370" i="1"/>
  <c r="F370" i="1"/>
  <c r="B371" i="1"/>
  <c r="C371" i="1"/>
  <c r="D371" i="1"/>
  <c r="E371" i="1"/>
  <c r="B39" i="3"/>
  <c r="B36" i="4"/>
  <c r="B39" i="4"/>
  <c r="B19" i="4"/>
  <c r="B19" i="3"/>
  <c r="B20" i="3"/>
  <c r="B19" i="1"/>
  <c r="B20" i="1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D15" i="5"/>
  <c r="C15" i="5"/>
  <c r="D14" i="5"/>
  <c r="D13" i="5"/>
  <c r="D12" i="5"/>
  <c r="C12" i="5"/>
  <c r="D11" i="5"/>
  <c r="C11" i="5"/>
  <c r="B18" i="5"/>
  <c r="B19" i="5"/>
  <c r="B23" i="5"/>
  <c r="B15" i="5"/>
  <c r="B12" i="5"/>
  <c r="B11" i="5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B17" i="5"/>
  <c r="B20" i="5"/>
  <c r="B20" i="4"/>
  <c r="D36" i="3"/>
  <c r="G38" i="4"/>
  <c r="G39" i="4"/>
  <c r="G47" i="4"/>
  <c r="G49" i="4"/>
  <c r="D38" i="4"/>
  <c r="D39" i="4"/>
  <c r="D47" i="4"/>
  <c r="D49" i="4"/>
  <c r="E38" i="4"/>
  <c r="E39" i="4"/>
  <c r="E47" i="4"/>
  <c r="E49" i="4"/>
  <c r="F38" i="4"/>
  <c r="F39" i="4"/>
  <c r="F47" i="4"/>
  <c r="F49" i="4"/>
  <c r="C38" i="4"/>
  <c r="C39" i="4"/>
  <c r="E36" i="3"/>
  <c r="F36" i="3"/>
  <c r="B7" i="3"/>
  <c r="C14" i="5"/>
  <c r="C13" i="5"/>
  <c r="C16" i="5"/>
  <c r="G36" i="3"/>
  <c r="C39" i="1"/>
  <c r="B9" i="1"/>
  <c r="C47" i="4"/>
  <c r="C49" i="4"/>
  <c r="C60" i="4" a="1"/>
  <c r="H38" i="3"/>
  <c r="C47" i="3"/>
  <c r="C49" i="3"/>
  <c r="D47" i="3"/>
  <c r="D49" i="3"/>
  <c r="F47" i="3"/>
  <c r="F49" i="3"/>
  <c r="G47" i="3"/>
  <c r="H39" i="3"/>
  <c r="B16" i="5"/>
  <c r="B13" i="5"/>
  <c r="B53" i="4"/>
  <c r="D26" i="5"/>
  <c r="B52" i="4"/>
  <c r="D25" i="5"/>
  <c r="D62" i="4"/>
  <c r="E62" i="4"/>
  <c r="F62" i="4"/>
  <c r="C60" i="4"/>
  <c r="C62" i="4"/>
  <c r="E47" i="3"/>
  <c r="E49" i="3"/>
  <c r="G49" i="3"/>
  <c r="B14" i="5"/>
  <c r="F62" i="3"/>
  <c r="E62" i="3"/>
  <c r="D62" i="3"/>
  <c r="C60" i="3"/>
  <c r="C62" i="3"/>
  <c r="B53" i="3"/>
  <c r="C26" i="5"/>
  <c r="B52" i="3"/>
  <c r="C25" i="5"/>
  <c r="C60" i="1" a="1"/>
  <c r="H39" i="1"/>
  <c r="B21" i="5"/>
  <c r="B22" i="5"/>
  <c r="G17" i="1"/>
  <c r="D62" i="1"/>
  <c r="E62" i="1"/>
  <c r="F62" i="1"/>
  <c r="C60" i="1"/>
  <c r="C62" i="1"/>
  <c r="B25" i="5"/>
  <c r="B28" i="5"/>
  <c r="B65" i="1"/>
  <c r="B27" i="5"/>
  <c r="B26" i="5"/>
  <c r="C132" i="4"/>
  <c r="G62" i="4"/>
  <c r="B132" i="4"/>
  <c r="C133" i="4"/>
  <c r="C132" i="3"/>
  <c r="C134" i="4"/>
  <c r="D132" i="4"/>
  <c r="E132" i="4"/>
  <c r="F132" i="4"/>
  <c r="B133" i="4"/>
  <c r="B65" i="4"/>
  <c r="D27" i="5"/>
  <c r="B66" i="4"/>
  <c r="D28" i="5"/>
  <c r="B132" i="3"/>
  <c r="C133" i="3"/>
  <c r="D133" i="4"/>
  <c r="E133" i="4"/>
  <c r="F133" i="4"/>
  <c r="B134" i="4"/>
  <c r="C135" i="4"/>
  <c r="C134" i="3"/>
  <c r="B66" i="3"/>
  <c r="C28" i="5"/>
  <c r="B65" i="3"/>
  <c r="C27" i="5"/>
  <c r="D132" i="3"/>
  <c r="E132" i="3"/>
  <c r="F132" i="3"/>
  <c r="B133" i="3"/>
  <c r="C136" i="4"/>
  <c r="D134" i="4"/>
  <c r="E134" i="4"/>
  <c r="F134" i="4"/>
  <c r="B135" i="4"/>
  <c r="D133" i="3"/>
  <c r="E133" i="3"/>
  <c r="F133" i="3"/>
  <c r="B134" i="3"/>
  <c r="C135" i="3"/>
  <c r="D135" i="4"/>
  <c r="E135" i="4"/>
  <c r="F135" i="4"/>
  <c r="B136" i="4"/>
  <c r="C137" i="4"/>
  <c r="D134" i="3"/>
  <c r="E134" i="3"/>
  <c r="F134" i="3"/>
  <c r="B135" i="3"/>
  <c r="C136" i="3"/>
  <c r="C138" i="4"/>
  <c r="D136" i="4"/>
  <c r="E136" i="4"/>
  <c r="F136" i="4"/>
  <c r="B137" i="4"/>
  <c r="C137" i="3"/>
  <c r="D135" i="3"/>
  <c r="E135" i="3"/>
  <c r="F135" i="3"/>
  <c r="B136" i="3"/>
  <c r="D137" i="4"/>
  <c r="E137" i="4"/>
  <c r="F137" i="4"/>
  <c r="B138" i="4"/>
  <c r="C139" i="4"/>
  <c r="D136" i="3"/>
  <c r="E136" i="3"/>
  <c r="F136" i="3"/>
  <c r="B137" i="3"/>
  <c r="C138" i="3"/>
  <c r="D138" i="4"/>
  <c r="E138" i="4"/>
  <c r="F138" i="4"/>
  <c r="B139" i="4"/>
  <c r="C140" i="4"/>
  <c r="C139" i="3"/>
  <c r="D137" i="3"/>
  <c r="E137" i="3"/>
  <c r="F137" i="3"/>
  <c r="B138" i="3"/>
  <c r="C141" i="4"/>
  <c r="D139" i="4"/>
  <c r="E139" i="4"/>
  <c r="F139" i="4"/>
  <c r="B140" i="4"/>
  <c r="D138" i="3"/>
  <c r="E138" i="3"/>
  <c r="F138" i="3"/>
  <c r="B139" i="3"/>
  <c r="C140" i="3"/>
  <c r="D140" i="4"/>
  <c r="E140" i="4"/>
  <c r="F140" i="4"/>
  <c r="B141" i="4"/>
  <c r="C142" i="4"/>
  <c r="C141" i="3"/>
  <c r="D139" i="3"/>
  <c r="E139" i="3"/>
  <c r="F139" i="3"/>
  <c r="B140" i="3"/>
  <c r="C143" i="4"/>
  <c r="D141" i="4"/>
  <c r="E141" i="4"/>
  <c r="F141" i="4"/>
  <c r="B142" i="4"/>
  <c r="D140" i="3"/>
  <c r="E140" i="3"/>
  <c r="F140" i="3"/>
  <c r="B141" i="3"/>
  <c r="C142" i="3"/>
  <c r="D142" i="4"/>
  <c r="E142" i="4"/>
  <c r="F142" i="4"/>
  <c r="B143" i="4"/>
  <c r="C144" i="4"/>
  <c r="D141" i="3"/>
  <c r="E141" i="3"/>
  <c r="F141" i="3"/>
  <c r="B142" i="3"/>
  <c r="C143" i="3"/>
  <c r="C145" i="4"/>
  <c r="D143" i="4"/>
  <c r="E143" i="4"/>
  <c r="F143" i="4"/>
  <c r="B144" i="4"/>
  <c r="C144" i="3"/>
  <c r="D142" i="3"/>
  <c r="E142" i="3"/>
  <c r="F142" i="3"/>
  <c r="B143" i="3"/>
  <c r="D144" i="4"/>
  <c r="E144" i="4"/>
  <c r="F144" i="4"/>
  <c r="B145" i="4"/>
  <c r="C146" i="4"/>
  <c r="D143" i="3"/>
  <c r="E143" i="3"/>
  <c r="F143" i="3"/>
  <c r="B144" i="3"/>
  <c r="C145" i="3"/>
  <c r="D145" i="4"/>
  <c r="E145" i="4"/>
  <c r="F145" i="4"/>
  <c r="B146" i="4"/>
  <c r="C147" i="4"/>
  <c r="C146" i="3"/>
  <c r="D144" i="3"/>
  <c r="E144" i="3"/>
  <c r="F144" i="3"/>
  <c r="B145" i="3"/>
  <c r="D146" i="4"/>
  <c r="E146" i="4"/>
  <c r="F146" i="4"/>
  <c r="B147" i="4"/>
  <c r="C148" i="4"/>
  <c r="D145" i="3"/>
  <c r="E145" i="3"/>
  <c r="F145" i="3"/>
  <c r="B146" i="3"/>
  <c r="C147" i="3"/>
  <c r="D147" i="4"/>
  <c r="E147" i="4"/>
  <c r="F147" i="4"/>
  <c r="B148" i="4"/>
  <c r="C149" i="4"/>
  <c r="D146" i="3"/>
  <c r="E146" i="3"/>
  <c r="F146" i="3"/>
  <c r="B147" i="3"/>
  <c r="C148" i="3"/>
  <c r="C150" i="4"/>
  <c r="D148" i="4"/>
  <c r="E148" i="4"/>
  <c r="F148" i="4"/>
  <c r="B149" i="4"/>
  <c r="C149" i="3"/>
  <c r="D147" i="3"/>
  <c r="E147" i="3"/>
  <c r="F147" i="3"/>
  <c r="B148" i="3"/>
  <c r="D149" i="4"/>
  <c r="E149" i="4"/>
  <c r="F149" i="4"/>
  <c r="B150" i="4"/>
  <c r="C151" i="4"/>
  <c r="D148" i="3"/>
  <c r="E148" i="3"/>
  <c r="F148" i="3"/>
  <c r="B149" i="3"/>
  <c r="C150" i="3"/>
  <c r="D150" i="4"/>
  <c r="E150" i="4"/>
  <c r="F150" i="4"/>
  <c r="B151" i="4"/>
  <c r="C152" i="4"/>
  <c r="C151" i="3"/>
  <c r="D149" i="3"/>
  <c r="E149" i="3"/>
  <c r="F149" i="3"/>
  <c r="B150" i="3"/>
  <c r="D151" i="4"/>
  <c r="E151" i="4"/>
  <c r="F151" i="4"/>
  <c r="B152" i="4"/>
  <c r="C153" i="4"/>
  <c r="D150" i="3"/>
  <c r="E150" i="3"/>
  <c r="F150" i="3"/>
  <c r="B151" i="3"/>
  <c r="C152" i="3"/>
  <c r="C154" i="4"/>
  <c r="D152" i="4"/>
  <c r="E152" i="4"/>
  <c r="F152" i="4"/>
  <c r="B153" i="4"/>
  <c r="C153" i="3"/>
  <c r="D151" i="3"/>
  <c r="E151" i="3"/>
  <c r="F151" i="3"/>
  <c r="B152" i="3"/>
  <c r="D153" i="4"/>
  <c r="E153" i="4"/>
  <c r="F153" i="4"/>
  <c r="B154" i="4"/>
  <c r="C155" i="4"/>
  <c r="D152" i="3"/>
  <c r="E152" i="3"/>
  <c r="F152" i="3"/>
  <c r="B153" i="3"/>
  <c r="C154" i="3"/>
  <c r="D154" i="4"/>
  <c r="E154" i="4"/>
  <c r="F154" i="4"/>
  <c r="B155" i="4"/>
  <c r="C156" i="4"/>
  <c r="D153" i="3"/>
  <c r="E153" i="3"/>
  <c r="F153" i="3"/>
  <c r="B154" i="3"/>
  <c r="C155" i="3"/>
  <c r="D155" i="4"/>
  <c r="E155" i="4"/>
  <c r="F155" i="4"/>
  <c r="B156" i="4"/>
  <c r="C157" i="4"/>
  <c r="C156" i="3"/>
  <c r="D154" i="3"/>
  <c r="E154" i="3"/>
  <c r="F154" i="3"/>
  <c r="B155" i="3"/>
  <c r="D156" i="4"/>
  <c r="E156" i="4"/>
  <c r="F156" i="4"/>
  <c r="B157" i="4"/>
  <c r="C158" i="4"/>
  <c r="D155" i="3"/>
  <c r="E155" i="3"/>
  <c r="F155" i="3"/>
  <c r="B156" i="3"/>
  <c r="C157" i="3"/>
  <c r="D157" i="4"/>
  <c r="E157" i="4"/>
  <c r="F157" i="4"/>
  <c r="B158" i="4"/>
  <c r="C159" i="4"/>
  <c r="C158" i="3"/>
  <c r="D156" i="3"/>
  <c r="E156" i="3"/>
  <c r="F156" i="3"/>
  <c r="B157" i="3"/>
  <c r="D158" i="4"/>
  <c r="E158" i="4"/>
  <c r="F158" i="4"/>
  <c r="B159" i="4"/>
  <c r="C160" i="4"/>
  <c r="D157" i="3"/>
  <c r="E157" i="3"/>
  <c r="F157" i="3"/>
  <c r="B158" i="3"/>
  <c r="C159" i="3"/>
  <c r="D159" i="4"/>
  <c r="E159" i="4"/>
  <c r="F159" i="4"/>
  <c r="B160" i="4"/>
  <c r="C161" i="4"/>
  <c r="D158" i="3"/>
  <c r="E158" i="3"/>
  <c r="F158" i="3"/>
  <c r="B159" i="3"/>
  <c r="C160" i="3"/>
  <c r="C162" i="4"/>
  <c r="D160" i="4"/>
  <c r="E160" i="4"/>
  <c r="F160" i="4"/>
  <c r="B161" i="4"/>
  <c r="C161" i="3"/>
  <c r="D159" i="3"/>
  <c r="E159" i="3"/>
  <c r="F159" i="3"/>
  <c r="B160" i="3"/>
  <c r="D161" i="4"/>
  <c r="E161" i="4"/>
  <c r="F161" i="4"/>
  <c r="B162" i="4"/>
  <c r="C163" i="4"/>
  <c r="D160" i="3"/>
  <c r="E160" i="3"/>
  <c r="F160" i="3"/>
  <c r="B161" i="3"/>
  <c r="C162" i="3"/>
  <c r="D162" i="4"/>
  <c r="E162" i="4"/>
  <c r="F162" i="4"/>
  <c r="B163" i="4"/>
  <c r="C164" i="4"/>
  <c r="C163" i="3"/>
  <c r="D161" i="3"/>
  <c r="E161" i="3"/>
  <c r="F161" i="3"/>
  <c r="B162" i="3"/>
  <c r="D163" i="4"/>
  <c r="E163" i="4"/>
  <c r="F163" i="4"/>
  <c r="B164" i="4"/>
  <c r="C165" i="4"/>
  <c r="D162" i="3"/>
  <c r="E162" i="3"/>
  <c r="F162" i="3"/>
  <c r="B163" i="3"/>
  <c r="C164" i="3"/>
  <c r="D164" i="4"/>
  <c r="E164" i="4"/>
  <c r="F164" i="4"/>
  <c r="B165" i="4"/>
  <c r="C166" i="4"/>
  <c r="C165" i="3"/>
  <c r="D163" i="3"/>
  <c r="E163" i="3"/>
  <c r="F163" i="3"/>
  <c r="B164" i="3"/>
  <c r="C167" i="4"/>
  <c r="D165" i="4"/>
  <c r="E165" i="4"/>
  <c r="F165" i="4"/>
  <c r="B166" i="4"/>
  <c r="D164" i="3"/>
  <c r="E164" i="3"/>
  <c r="F164" i="3"/>
  <c r="B165" i="3"/>
  <c r="C166" i="3"/>
  <c r="D166" i="4"/>
  <c r="E166" i="4"/>
  <c r="F166" i="4"/>
  <c r="B167" i="4"/>
  <c r="C168" i="4"/>
  <c r="D165" i="3"/>
  <c r="E165" i="3"/>
  <c r="F165" i="3"/>
  <c r="B166" i="3"/>
  <c r="C167" i="3"/>
  <c r="C169" i="4"/>
  <c r="D167" i="4"/>
  <c r="E167" i="4"/>
  <c r="F167" i="4"/>
  <c r="B168" i="4"/>
  <c r="C168" i="3"/>
  <c r="D166" i="3"/>
  <c r="E166" i="3"/>
  <c r="F166" i="3"/>
  <c r="B167" i="3"/>
  <c r="D168" i="4"/>
  <c r="E168" i="4"/>
  <c r="F168" i="4"/>
  <c r="B169" i="4"/>
  <c r="C170" i="4"/>
  <c r="D167" i="3"/>
  <c r="E167" i="3"/>
  <c r="F167" i="3"/>
  <c r="B168" i="3"/>
  <c r="C169" i="3"/>
  <c r="D169" i="4"/>
  <c r="E169" i="4"/>
  <c r="F169" i="4"/>
  <c r="B170" i="4"/>
  <c r="C171" i="4"/>
  <c r="C170" i="3"/>
  <c r="D168" i="3"/>
  <c r="E168" i="3"/>
  <c r="F168" i="3"/>
  <c r="B169" i="3"/>
  <c r="D170" i="4"/>
  <c r="E170" i="4"/>
  <c r="F170" i="4"/>
  <c r="B171" i="4"/>
  <c r="C172" i="4"/>
  <c r="D169" i="3"/>
  <c r="E169" i="3"/>
  <c r="F169" i="3"/>
  <c r="B170" i="3"/>
  <c r="C171" i="3"/>
  <c r="D171" i="4"/>
  <c r="E171" i="4"/>
  <c r="F171" i="4"/>
  <c r="B172" i="4"/>
  <c r="C173" i="4"/>
  <c r="D170" i="3"/>
  <c r="E170" i="3"/>
  <c r="F170" i="3"/>
  <c r="B171" i="3"/>
  <c r="C172" i="3"/>
  <c r="D172" i="4"/>
  <c r="E172" i="4"/>
  <c r="F172" i="4"/>
  <c r="B173" i="4"/>
  <c r="C174" i="4"/>
  <c r="C173" i="3"/>
  <c r="D171" i="3"/>
  <c r="E171" i="3"/>
  <c r="F171" i="3"/>
  <c r="B172" i="3"/>
  <c r="C175" i="4"/>
  <c r="D173" i="4"/>
  <c r="E173" i="4"/>
  <c r="F173" i="4"/>
  <c r="B174" i="4"/>
  <c r="D172" i="3"/>
  <c r="E172" i="3"/>
  <c r="F172" i="3"/>
  <c r="B173" i="3"/>
  <c r="C174" i="3"/>
  <c r="D174" i="4"/>
  <c r="E174" i="4"/>
  <c r="F174" i="4"/>
  <c r="B175" i="4"/>
  <c r="C176" i="4"/>
  <c r="C175" i="3"/>
  <c r="D173" i="3"/>
  <c r="E173" i="3"/>
  <c r="F173" i="3"/>
  <c r="B174" i="3"/>
  <c r="D175" i="4"/>
  <c r="E175" i="4"/>
  <c r="F175" i="4"/>
  <c r="B176" i="4"/>
  <c r="C177" i="4"/>
  <c r="D174" i="3"/>
  <c r="E174" i="3"/>
  <c r="F174" i="3"/>
  <c r="B175" i="3"/>
  <c r="C176" i="3"/>
  <c r="C178" i="4"/>
  <c r="D176" i="4"/>
  <c r="E176" i="4"/>
  <c r="F176" i="4"/>
  <c r="B177" i="4"/>
  <c r="C177" i="3"/>
  <c r="D175" i="3"/>
  <c r="E175" i="3"/>
  <c r="F175" i="3"/>
  <c r="B176" i="3"/>
  <c r="C179" i="4"/>
  <c r="D177" i="4"/>
  <c r="E177" i="4"/>
  <c r="F177" i="4"/>
  <c r="B178" i="4"/>
  <c r="D176" i="3"/>
  <c r="E176" i="3"/>
  <c r="F176" i="3"/>
  <c r="B177" i="3"/>
  <c r="C178" i="3"/>
  <c r="D178" i="4"/>
  <c r="E178" i="4"/>
  <c r="F178" i="4"/>
  <c r="B179" i="4"/>
  <c r="C180" i="4"/>
  <c r="D177" i="3"/>
  <c r="E177" i="3"/>
  <c r="F177" i="3"/>
  <c r="B178" i="3"/>
  <c r="C179" i="3"/>
  <c r="D179" i="4"/>
  <c r="E179" i="4"/>
  <c r="F179" i="4"/>
  <c r="B180" i="4"/>
  <c r="C181" i="4"/>
  <c r="C180" i="3"/>
  <c r="D178" i="3"/>
  <c r="E178" i="3"/>
  <c r="F178" i="3"/>
  <c r="B179" i="3"/>
  <c r="D180" i="4"/>
  <c r="E180" i="4"/>
  <c r="F180" i="4"/>
  <c r="B181" i="4"/>
  <c r="C182" i="4"/>
  <c r="D179" i="3"/>
  <c r="E179" i="3"/>
  <c r="F179" i="3"/>
  <c r="B180" i="3"/>
  <c r="C181" i="3"/>
  <c r="D181" i="4"/>
  <c r="E181" i="4"/>
  <c r="F181" i="4"/>
  <c r="B182" i="4"/>
  <c r="C183" i="4"/>
  <c r="D180" i="3"/>
  <c r="E180" i="3"/>
  <c r="F180" i="3"/>
  <c r="B181" i="3"/>
  <c r="C182" i="3"/>
  <c r="D182" i="4"/>
  <c r="E182" i="4"/>
  <c r="F182" i="4"/>
  <c r="B183" i="4"/>
  <c r="C184" i="4"/>
  <c r="C183" i="3"/>
  <c r="D181" i="3"/>
  <c r="E181" i="3"/>
  <c r="F181" i="3"/>
  <c r="B182" i="3"/>
  <c r="D183" i="4"/>
  <c r="E183" i="4"/>
  <c r="F183" i="4"/>
  <c r="B184" i="4"/>
  <c r="C185" i="4"/>
  <c r="D182" i="3"/>
  <c r="E182" i="3"/>
  <c r="F182" i="3"/>
  <c r="B183" i="3"/>
  <c r="C184" i="3"/>
  <c r="D184" i="4"/>
  <c r="E184" i="4"/>
  <c r="F184" i="4"/>
  <c r="B185" i="4"/>
  <c r="C186" i="4"/>
  <c r="C185" i="3"/>
  <c r="D183" i="3"/>
  <c r="E183" i="3"/>
  <c r="F183" i="3"/>
  <c r="B184" i="3"/>
  <c r="D185" i="4"/>
  <c r="E185" i="4"/>
  <c r="F185" i="4"/>
  <c r="B186" i="4"/>
  <c r="C187" i="4"/>
  <c r="D184" i="3"/>
  <c r="E184" i="3"/>
  <c r="F184" i="3"/>
  <c r="B185" i="3"/>
  <c r="C186" i="3"/>
  <c r="D186" i="4"/>
  <c r="E186" i="4"/>
  <c r="F186" i="4"/>
  <c r="B187" i="4"/>
  <c r="C188" i="4"/>
  <c r="C187" i="3"/>
  <c r="D185" i="3"/>
  <c r="E185" i="3"/>
  <c r="F185" i="3"/>
  <c r="B186" i="3"/>
  <c r="D187" i="4"/>
  <c r="E187" i="4"/>
  <c r="F187" i="4"/>
  <c r="B188" i="4"/>
  <c r="C189" i="4"/>
  <c r="D186" i="3"/>
  <c r="E186" i="3"/>
  <c r="F186" i="3"/>
  <c r="B187" i="3"/>
  <c r="C188" i="3"/>
  <c r="D188" i="4"/>
  <c r="E188" i="4"/>
  <c r="F188" i="4"/>
  <c r="B189" i="4"/>
  <c r="C190" i="4"/>
  <c r="C189" i="3"/>
  <c r="D187" i="3"/>
  <c r="E187" i="3"/>
  <c r="F187" i="3"/>
  <c r="B188" i="3"/>
  <c r="D189" i="4"/>
  <c r="E189" i="4"/>
  <c r="F189" i="4"/>
  <c r="B190" i="4"/>
  <c r="C191" i="4"/>
  <c r="D188" i="3"/>
  <c r="E188" i="3"/>
  <c r="F188" i="3"/>
  <c r="B189" i="3"/>
  <c r="C190" i="3"/>
  <c r="C192" i="4"/>
  <c r="D190" i="4"/>
  <c r="E190" i="4"/>
  <c r="F190" i="4"/>
  <c r="B191" i="4"/>
  <c r="D189" i="3"/>
  <c r="E189" i="3"/>
  <c r="F189" i="3"/>
  <c r="B190" i="3"/>
  <c r="C191" i="3"/>
  <c r="D191" i="4"/>
  <c r="E191" i="4"/>
  <c r="F191" i="4"/>
  <c r="B192" i="4"/>
  <c r="C193" i="4"/>
  <c r="D190" i="3"/>
  <c r="E190" i="3"/>
  <c r="F190" i="3"/>
  <c r="B191" i="3"/>
  <c r="C192" i="3"/>
  <c r="D192" i="4"/>
  <c r="E192" i="4"/>
  <c r="F192" i="4"/>
  <c r="B193" i="4"/>
  <c r="C194" i="4"/>
  <c r="D191" i="3"/>
  <c r="E191" i="3"/>
  <c r="F191" i="3"/>
  <c r="B192" i="3"/>
  <c r="C193" i="3"/>
  <c r="D193" i="4"/>
  <c r="E193" i="4"/>
  <c r="F193" i="4"/>
  <c r="B194" i="4"/>
  <c r="C195" i="4"/>
  <c r="C194" i="3"/>
  <c r="D192" i="3"/>
  <c r="E192" i="3"/>
  <c r="F192" i="3"/>
  <c r="B193" i="3"/>
  <c r="D194" i="4"/>
  <c r="E194" i="4"/>
  <c r="F194" i="4"/>
  <c r="B195" i="4"/>
  <c r="C196" i="4"/>
  <c r="D193" i="3"/>
  <c r="E193" i="3"/>
  <c r="F193" i="3"/>
  <c r="B194" i="3"/>
  <c r="C195" i="3"/>
  <c r="D195" i="4"/>
  <c r="E195" i="4"/>
  <c r="F195" i="4"/>
  <c r="B196" i="4"/>
  <c r="C197" i="4"/>
  <c r="C196" i="3"/>
  <c r="D194" i="3"/>
  <c r="E194" i="3"/>
  <c r="F194" i="3"/>
  <c r="B195" i="3"/>
  <c r="D196" i="4"/>
  <c r="E196" i="4"/>
  <c r="F196" i="4"/>
  <c r="B197" i="4"/>
  <c r="C198" i="4"/>
  <c r="D195" i="3"/>
  <c r="E195" i="3"/>
  <c r="F195" i="3"/>
  <c r="B196" i="3"/>
  <c r="C197" i="3"/>
  <c r="D197" i="4"/>
  <c r="E197" i="4"/>
  <c r="F197" i="4"/>
  <c r="B198" i="4"/>
  <c r="C199" i="4"/>
  <c r="C198" i="3"/>
  <c r="D196" i="3"/>
  <c r="E196" i="3"/>
  <c r="F196" i="3"/>
  <c r="B197" i="3"/>
  <c r="D198" i="4"/>
  <c r="E198" i="4"/>
  <c r="F198" i="4"/>
  <c r="B199" i="4"/>
  <c r="C200" i="4"/>
  <c r="D197" i="3"/>
  <c r="E197" i="3"/>
  <c r="F197" i="3"/>
  <c r="B198" i="3"/>
  <c r="C199" i="3"/>
  <c r="C201" i="4"/>
  <c r="D199" i="4"/>
  <c r="E199" i="4"/>
  <c r="F199" i="4"/>
  <c r="B200" i="4"/>
  <c r="D198" i="3"/>
  <c r="E198" i="3"/>
  <c r="F198" i="3"/>
  <c r="B199" i="3"/>
  <c r="C200" i="3"/>
  <c r="D200" i="4"/>
  <c r="E200" i="4"/>
  <c r="F200" i="4"/>
  <c r="B201" i="4"/>
  <c r="C202" i="4"/>
  <c r="D199" i="3"/>
  <c r="E199" i="3"/>
  <c r="F199" i="3"/>
  <c r="B200" i="3"/>
  <c r="C201" i="3"/>
  <c r="D201" i="4"/>
  <c r="E201" i="4"/>
  <c r="F201" i="4"/>
  <c r="B202" i="4"/>
  <c r="C203" i="4"/>
  <c r="C202" i="3"/>
  <c r="D200" i="3"/>
  <c r="E200" i="3"/>
  <c r="F200" i="3"/>
  <c r="B201" i="3"/>
  <c r="D202" i="4"/>
  <c r="E202" i="4"/>
  <c r="F202" i="4"/>
  <c r="B203" i="4"/>
  <c r="C204" i="4"/>
  <c r="D201" i="3"/>
  <c r="E201" i="3"/>
  <c r="F201" i="3"/>
  <c r="B202" i="3"/>
  <c r="C203" i="3"/>
  <c r="D203" i="4"/>
  <c r="E203" i="4"/>
  <c r="F203" i="4"/>
  <c r="B204" i="4"/>
  <c r="C205" i="4"/>
  <c r="D202" i="3"/>
  <c r="E202" i="3"/>
  <c r="F202" i="3"/>
  <c r="B203" i="3"/>
  <c r="C204" i="3"/>
  <c r="D204" i="4"/>
  <c r="E204" i="4"/>
  <c r="F204" i="4"/>
  <c r="B205" i="4"/>
  <c r="C206" i="4"/>
  <c r="D203" i="3"/>
  <c r="E203" i="3"/>
  <c r="F203" i="3"/>
  <c r="B204" i="3"/>
  <c r="C205" i="3"/>
  <c r="C207" i="4"/>
  <c r="D205" i="4"/>
  <c r="E205" i="4"/>
  <c r="F205" i="4"/>
  <c r="B206" i="4"/>
  <c r="C206" i="3"/>
  <c r="D204" i="3"/>
  <c r="E204" i="3"/>
  <c r="F204" i="3"/>
  <c r="B205" i="3"/>
  <c r="D206" i="4"/>
  <c r="E206" i="4"/>
  <c r="F206" i="4"/>
  <c r="B207" i="4"/>
  <c r="C208" i="4"/>
  <c r="D205" i="3"/>
  <c r="E205" i="3"/>
  <c r="F205" i="3"/>
  <c r="B206" i="3"/>
  <c r="C207" i="3"/>
  <c r="D207" i="4"/>
  <c r="E207" i="4"/>
  <c r="F207" i="4"/>
  <c r="B208" i="4"/>
  <c r="C209" i="4"/>
  <c r="D206" i="3"/>
  <c r="E206" i="3"/>
  <c r="F206" i="3"/>
  <c r="B207" i="3"/>
  <c r="C208" i="3"/>
  <c r="C210" i="4"/>
  <c r="D208" i="4"/>
  <c r="E208" i="4"/>
  <c r="F208" i="4"/>
  <c r="B209" i="4"/>
  <c r="C209" i="3"/>
  <c r="D207" i="3"/>
  <c r="E207" i="3"/>
  <c r="F207" i="3"/>
  <c r="B208" i="3"/>
  <c r="D209" i="4"/>
  <c r="E209" i="4"/>
  <c r="F209" i="4"/>
  <c r="B210" i="4"/>
  <c r="C211" i="4"/>
  <c r="D208" i="3"/>
  <c r="E208" i="3"/>
  <c r="F208" i="3"/>
  <c r="B209" i="3"/>
  <c r="C210" i="3"/>
  <c r="D210" i="4"/>
  <c r="E210" i="4"/>
  <c r="F210" i="4"/>
  <c r="B211" i="4"/>
  <c r="C212" i="4"/>
  <c r="D209" i="3"/>
  <c r="E209" i="3"/>
  <c r="F209" i="3"/>
  <c r="B210" i="3"/>
  <c r="C211" i="3"/>
  <c r="D211" i="4"/>
  <c r="E211" i="4"/>
  <c r="F211" i="4"/>
  <c r="B212" i="4"/>
  <c r="C213" i="4"/>
  <c r="D210" i="3"/>
  <c r="E210" i="3"/>
  <c r="F210" i="3"/>
  <c r="B211" i="3"/>
  <c r="C212" i="3"/>
  <c r="D212" i="4"/>
  <c r="E212" i="4"/>
  <c r="F212" i="4"/>
  <c r="B213" i="4"/>
  <c r="C214" i="4"/>
  <c r="C213" i="3"/>
  <c r="D211" i="3"/>
  <c r="E211" i="3"/>
  <c r="F211" i="3"/>
  <c r="B212" i="3"/>
  <c r="D213" i="4"/>
  <c r="E213" i="4"/>
  <c r="F213" i="4"/>
  <c r="B214" i="4"/>
  <c r="C215" i="4"/>
  <c r="D212" i="3"/>
  <c r="E212" i="3"/>
  <c r="F212" i="3"/>
  <c r="B213" i="3"/>
  <c r="C214" i="3"/>
  <c r="D214" i="4"/>
  <c r="E214" i="4"/>
  <c r="F214" i="4"/>
  <c r="B215" i="4"/>
  <c r="C216" i="4"/>
  <c r="D213" i="3"/>
  <c r="E213" i="3"/>
  <c r="F213" i="3"/>
  <c r="B214" i="3"/>
  <c r="C215" i="3"/>
  <c r="D215" i="4"/>
  <c r="E215" i="4"/>
  <c r="F215" i="4"/>
  <c r="B216" i="4"/>
  <c r="C217" i="4"/>
  <c r="D214" i="3"/>
  <c r="E214" i="3"/>
  <c r="F214" i="3"/>
  <c r="B215" i="3"/>
  <c r="C216" i="3"/>
  <c r="D216" i="4"/>
  <c r="E216" i="4"/>
  <c r="F216" i="4"/>
  <c r="B217" i="4"/>
  <c r="C218" i="4"/>
  <c r="D215" i="3"/>
  <c r="E215" i="3"/>
  <c r="F215" i="3"/>
  <c r="B216" i="3"/>
  <c r="C217" i="3"/>
  <c r="D217" i="4"/>
  <c r="E217" i="4"/>
  <c r="F217" i="4"/>
  <c r="B218" i="4"/>
  <c r="C219" i="4"/>
  <c r="D216" i="3"/>
  <c r="E216" i="3"/>
  <c r="F216" i="3"/>
  <c r="B217" i="3"/>
  <c r="C218" i="3"/>
  <c r="D218" i="4"/>
  <c r="E218" i="4"/>
  <c r="F218" i="4"/>
  <c r="B219" i="4"/>
  <c r="C220" i="4"/>
  <c r="C219" i="3"/>
  <c r="D217" i="3"/>
  <c r="E217" i="3"/>
  <c r="F217" i="3"/>
  <c r="B218" i="3"/>
  <c r="D219" i="4"/>
  <c r="E219" i="4"/>
  <c r="F219" i="4"/>
  <c r="B220" i="4"/>
  <c r="C221" i="4"/>
  <c r="D218" i="3"/>
  <c r="E218" i="3"/>
  <c r="F218" i="3"/>
  <c r="B219" i="3"/>
  <c r="C220" i="3"/>
  <c r="C222" i="4"/>
  <c r="D220" i="4"/>
  <c r="E220" i="4"/>
  <c r="F220" i="4"/>
  <c r="B221" i="4"/>
  <c r="C221" i="3"/>
  <c r="D219" i="3"/>
  <c r="E219" i="3"/>
  <c r="F219" i="3"/>
  <c r="B220" i="3"/>
  <c r="D221" i="4"/>
  <c r="E221" i="4"/>
  <c r="F221" i="4"/>
  <c r="B222" i="4"/>
  <c r="C223" i="4"/>
  <c r="D220" i="3"/>
  <c r="E220" i="3"/>
  <c r="F220" i="3"/>
  <c r="B221" i="3"/>
  <c r="C222" i="3"/>
  <c r="D222" i="4"/>
  <c r="E222" i="4"/>
  <c r="F222" i="4"/>
  <c r="B223" i="4"/>
  <c r="C224" i="4"/>
  <c r="D221" i="3"/>
  <c r="E221" i="3"/>
  <c r="F221" i="3"/>
  <c r="B222" i="3"/>
  <c r="C223" i="3"/>
  <c r="D223" i="4"/>
  <c r="E223" i="4"/>
  <c r="F223" i="4"/>
  <c r="B224" i="4"/>
  <c r="C225" i="4"/>
  <c r="D222" i="3"/>
  <c r="E222" i="3"/>
  <c r="F222" i="3"/>
  <c r="B223" i="3"/>
  <c r="C224" i="3"/>
  <c r="C226" i="4"/>
  <c r="D224" i="4"/>
  <c r="E224" i="4"/>
  <c r="F224" i="4"/>
  <c r="B225" i="4"/>
  <c r="D223" i="3"/>
  <c r="E223" i="3"/>
  <c r="F223" i="3"/>
  <c r="B224" i="3"/>
  <c r="C225" i="3"/>
  <c r="D225" i="4"/>
  <c r="E225" i="4"/>
  <c r="F225" i="4"/>
  <c r="B226" i="4"/>
  <c r="C227" i="4"/>
  <c r="D224" i="3"/>
  <c r="E224" i="3"/>
  <c r="F224" i="3"/>
  <c r="B225" i="3"/>
  <c r="C226" i="3"/>
  <c r="D226" i="4"/>
  <c r="E226" i="4"/>
  <c r="F226" i="4"/>
  <c r="B227" i="4"/>
  <c r="C228" i="4"/>
  <c r="D225" i="3"/>
  <c r="E225" i="3"/>
  <c r="F225" i="3"/>
  <c r="B226" i="3"/>
  <c r="C227" i="3"/>
  <c r="D227" i="4"/>
  <c r="E227" i="4"/>
  <c r="F227" i="4"/>
  <c r="B228" i="4"/>
  <c r="C229" i="4"/>
  <c r="D226" i="3"/>
  <c r="E226" i="3"/>
  <c r="F226" i="3"/>
  <c r="B227" i="3"/>
  <c r="C228" i="3"/>
  <c r="D228" i="4"/>
  <c r="E228" i="4"/>
  <c r="F228" i="4"/>
  <c r="B229" i="4"/>
  <c r="C230" i="4"/>
  <c r="D227" i="3"/>
  <c r="E227" i="3"/>
  <c r="F227" i="3"/>
  <c r="B228" i="3"/>
  <c r="C229" i="3"/>
  <c r="D229" i="4"/>
  <c r="E229" i="4"/>
  <c r="F229" i="4"/>
  <c r="B230" i="4"/>
  <c r="C231" i="4"/>
  <c r="D228" i="3"/>
  <c r="E228" i="3"/>
  <c r="F228" i="3"/>
  <c r="B229" i="3"/>
  <c r="C230" i="3"/>
  <c r="D230" i="4"/>
  <c r="E230" i="4"/>
  <c r="F230" i="4"/>
  <c r="B231" i="4"/>
  <c r="C232" i="4"/>
  <c r="D229" i="3"/>
  <c r="E229" i="3"/>
  <c r="F229" i="3"/>
  <c r="B230" i="3"/>
  <c r="C231" i="3"/>
  <c r="D231" i="4"/>
  <c r="E231" i="4"/>
  <c r="F231" i="4"/>
  <c r="B232" i="4"/>
  <c r="C233" i="4"/>
  <c r="D230" i="3"/>
  <c r="E230" i="3"/>
  <c r="F230" i="3"/>
  <c r="B231" i="3"/>
  <c r="C232" i="3"/>
  <c r="D232" i="4"/>
  <c r="E232" i="4"/>
  <c r="F232" i="4"/>
  <c r="B233" i="4"/>
  <c r="C234" i="4"/>
  <c r="D231" i="3"/>
  <c r="E231" i="3"/>
  <c r="F231" i="3"/>
  <c r="B232" i="3"/>
  <c r="C233" i="3"/>
  <c r="D233" i="4"/>
  <c r="E233" i="4"/>
  <c r="F233" i="4"/>
  <c r="B234" i="4"/>
  <c r="C235" i="4"/>
  <c r="D232" i="3"/>
  <c r="E232" i="3"/>
  <c r="F232" i="3"/>
  <c r="B233" i="3"/>
  <c r="C234" i="3"/>
  <c r="D234" i="4"/>
  <c r="E234" i="4"/>
  <c r="F234" i="4"/>
  <c r="B235" i="4"/>
  <c r="C236" i="4"/>
  <c r="D233" i="3"/>
  <c r="E233" i="3"/>
  <c r="F233" i="3"/>
  <c r="B234" i="3"/>
  <c r="C235" i="3"/>
  <c r="D235" i="4"/>
  <c r="E235" i="4"/>
  <c r="F235" i="4"/>
  <c r="B236" i="4"/>
  <c r="C237" i="4"/>
  <c r="D234" i="3"/>
  <c r="E234" i="3"/>
  <c r="F234" i="3"/>
  <c r="B235" i="3"/>
  <c r="C236" i="3"/>
  <c r="D236" i="4"/>
  <c r="E236" i="4"/>
  <c r="F236" i="4"/>
  <c r="B237" i="4"/>
  <c r="C238" i="4"/>
  <c r="D235" i="3"/>
  <c r="E235" i="3"/>
  <c r="F235" i="3"/>
  <c r="B236" i="3"/>
  <c r="C237" i="3"/>
  <c r="D237" i="4"/>
  <c r="E237" i="4"/>
  <c r="F237" i="4"/>
  <c r="B238" i="4"/>
  <c r="C239" i="4"/>
  <c r="D236" i="3"/>
  <c r="E236" i="3"/>
  <c r="F236" i="3"/>
  <c r="B237" i="3"/>
  <c r="C238" i="3"/>
  <c r="D238" i="4"/>
  <c r="E238" i="4"/>
  <c r="F238" i="4"/>
  <c r="B239" i="4"/>
  <c r="C240" i="4"/>
  <c r="D237" i="3"/>
  <c r="E237" i="3"/>
  <c r="F237" i="3"/>
  <c r="B238" i="3"/>
  <c r="C239" i="3"/>
  <c r="D239" i="4"/>
  <c r="E239" i="4"/>
  <c r="F239" i="4"/>
  <c r="B240" i="4"/>
  <c r="C241" i="4"/>
  <c r="D238" i="3"/>
  <c r="E238" i="3"/>
  <c r="F238" i="3"/>
  <c r="B239" i="3"/>
  <c r="C240" i="3"/>
  <c r="D240" i="4"/>
  <c r="E240" i="4"/>
  <c r="F240" i="4"/>
  <c r="B241" i="4"/>
  <c r="C242" i="4"/>
  <c r="D239" i="3"/>
  <c r="E239" i="3"/>
  <c r="F239" i="3"/>
  <c r="B240" i="3"/>
  <c r="C241" i="3"/>
  <c r="C243" i="4"/>
  <c r="D241" i="4"/>
  <c r="E241" i="4"/>
  <c r="F241" i="4"/>
  <c r="B242" i="4"/>
  <c r="D240" i="3"/>
  <c r="E240" i="3"/>
  <c r="F240" i="3"/>
  <c r="B241" i="3"/>
  <c r="C242" i="3"/>
  <c r="D242" i="4"/>
  <c r="E242" i="4"/>
  <c r="F242" i="4"/>
  <c r="B243" i="4"/>
  <c r="C244" i="4"/>
  <c r="D241" i="3"/>
  <c r="E241" i="3"/>
  <c r="F241" i="3"/>
  <c r="B242" i="3"/>
  <c r="C243" i="3"/>
  <c r="D243" i="4"/>
  <c r="E243" i="4"/>
  <c r="F243" i="4"/>
  <c r="B244" i="4"/>
  <c r="C245" i="4"/>
  <c r="D242" i="3"/>
  <c r="E242" i="3"/>
  <c r="F242" i="3"/>
  <c r="B243" i="3"/>
  <c r="C244" i="3"/>
  <c r="D244" i="4"/>
  <c r="E244" i="4"/>
  <c r="F244" i="4"/>
  <c r="B245" i="4"/>
  <c r="C246" i="4"/>
  <c r="C245" i="3"/>
  <c r="D243" i="3"/>
  <c r="E243" i="3"/>
  <c r="F243" i="3"/>
  <c r="B244" i="3"/>
  <c r="C247" i="4"/>
  <c r="D245" i="4"/>
  <c r="E245" i="4"/>
  <c r="F245" i="4"/>
  <c r="B246" i="4"/>
  <c r="D244" i="3"/>
  <c r="E244" i="3"/>
  <c r="F244" i="3"/>
  <c r="B245" i="3"/>
  <c r="C246" i="3"/>
  <c r="D246" i="4"/>
  <c r="E246" i="4"/>
  <c r="F246" i="4"/>
  <c r="B247" i="4"/>
  <c r="C248" i="4"/>
  <c r="D245" i="3"/>
  <c r="E245" i="3"/>
  <c r="F245" i="3"/>
  <c r="B246" i="3"/>
  <c r="C247" i="3"/>
  <c r="C249" i="4"/>
  <c r="D247" i="4"/>
  <c r="E247" i="4"/>
  <c r="F247" i="4"/>
  <c r="B248" i="4"/>
  <c r="D246" i="3"/>
  <c r="E246" i="3"/>
  <c r="F246" i="3"/>
  <c r="B247" i="3"/>
  <c r="C248" i="3"/>
  <c r="D248" i="4"/>
  <c r="E248" i="4"/>
  <c r="F248" i="4"/>
  <c r="B249" i="4"/>
  <c r="C250" i="4"/>
  <c r="C249" i="3"/>
  <c r="D247" i="3"/>
  <c r="E247" i="3"/>
  <c r="F247" i="3"/>
  <c r="B248" i="3"/>
  <c r="D249" i="4"/>
  <c r="E249" i="4"/>
  <c r="F249" i="4"/>
  <c r="B250" i="4"/>
  <c r="C251" i="4"/>
  <c r="D248" i="3"/>
  <c r="E248" i="3"/>
  <c r="F248" i="3"/>
  <c r="B249" i="3"/>
  <c r="C250" i="3"/>
  <c r="C252" i="4"/>
  <c r="D250" i="4"/>
  <c r="E250" i="4"/>
  <c r="F250" i="4"/>
  <c r="B251" i="4"/>
  <c r="D249" i="3"/>
  <c r="E249" i="3"/>
  <c r="F249" i="3"/>
  <c r="B250" i="3"/>
  <c r="C251" i="3"/>
  <c r="D251" i="4"/>
  <c r="E251" i="4"/>
  <c r="F251" i="4"/>
  <c r="B252" i="4"/>
  <c r="C253" i="4"/>
  <c r="D250" i="3"/>
  <c r="E250" i="3"/>
  <c r="F250" i="3"/>
  <c r="B251" i="3"/>
  <c r="C252" i="3"/>
  <c r="D252" i="4"/>
  <c r="E252" i="4"/>
  <c r="F252" i="4"/>
  <c r="B253" i="4"/>
  <c r="C254" i="4"/>
  <c r="D251" i="3"/>
  <c r="E251" i="3"/>
  <c r="F251" i="3"/>
  <c r="B252" i="3"/>
  <c r="C253" i="3"/>
  <c r="D253" i="4"/>
  <c r="E253" i="4"/>
  <c r="F253" i="4"/>
  <c r="B254" i="4"/>
  <c r="C255" i="4"/>
  <c r="D252" i="3"/>
  <c r="E252" i="3"/>
  <c r="F252" i="3"/>
  <c r="B253" i="3"/>
  <c r="C254" i="3"/>
  <c r="D254" i="4"/>
  <c r="E254" i="4"/>
  <c r="F254" i="4"/>
  <c r="B255" i="4"/>
  <c r="C256" i="4"/>
  <c r="C255" i="3"/>
  <c r="D253" i="3"/>
  <c r="E253" i="3"/>
  <c r="F253" i="3"/>
  <c r="B254" i="3"/>
  <c r="D255" i="4"/>
  <c r="E255" i="4"/>
  <c r="F255" i="4"/>
  <c r="B256" i="4"/>
  <c r="C257" i="4"/>
  <c r="D254" i="3"/>
  <c r="E254" i="3"/>
  <c r="F254" i="3"/>
  <c r="B255" i="3"/>
  <c r="C256" i="3"/>
  <c r="D256" i="4"/>
  <c r="E256" i="4"/>
  <c r="F256" i="4"/>
  <c r="B257" i="4"/>
  <c r="C258" i="4"/>
  <c r="D255" i="3"/>
  <c r="E255" i="3"/>
  <c r="F255" i="3"/>
  <c r="B256" i="3"/>
  <c r="C257" i="3"/>
  <c r="C259" i="4"/>
  <c r="D257" i="4"/>
  <c r="E257" i="4"/>
  <c r="F257" i="4"/>
  <c r="B258" i="4"/>
  <c r="D256" i="3"/>
  <c r="E256" i="3"/>
  <c r="F256" i="3"/>
  <c r="B257" i="3"/>
  <c r="C258" i="3"/>
  <c r="D258" i="4"/>
  <c r="E258" i="4"/>
  <c r="F258" i="4"/>
  <c r="B259" i="4"/>
  <c r="C260" i="4"/>
  <c r="D257" i="3"/>
  <c r="E257" i="3"/>
  <c r="F257" i="3"/>
  <c r="B258" i="3"/>
  <c r="C259" i="3"/>
  <c r="C261" i="4"/>
  <c r="D259" i="4"/>
  <c r="E259" i="4"/>
  <c r="F259" i="4"/>
  <c r="B260" i="4"/>
  <c r="D258" i="3"/>
  <c r="E258" i="3"/>
  <c r="F258" i="3"/>
  <c r="B259" i="3"/>
  <c r="C260" i="3"/>
  <c r="D260" i="4"/>
  <c r="E260" i="4"/>
  <c r="F260" i="4"/>
  <c r="B261" i="4"/>
  <c r="C262" i="4"/>
  <c r="C261" i="3"/>
  <c r="D259" i="3"/>
  <c r="E259" i="3"/>
  <c r="F259" i="3"/>
  <c r="B260" i="3"/>
  <c r="D261" i="4"/>
  <c r="E261" i="4"/>
  <c r="F261" i="4"/>
  <c r="B262" i="4"/>
  <c r="C263" i="4"/>
  <c r="D260" i="3"/>
  <c r="E260" i="3"/>
  <c r="F260" i="3"/>
  <c r="B261" i="3"/>
  <c r="C262" i="3"/>
  <c r="C264" i="4"/>
  <c r="D262" i="4"/>
  <c r="E262" i="4"/>
  <c r="F262" i="4"/>
  <c r="B263" i="4"/>
  <c r="D261" i="3"/>
  <c r="E261" i="3"/>
  <c r="F261" i="3"/>
  <c r="B262" i="3"/>
  <c r="C263" i="3"/>
  <c r="D263" i="4"/>
  <c r="E263" i="4"/>
  <c r="F263" i="4"/>
  <c r="B264" i="4"/>
  <c r="C265" i="4"/>
  <c r="D262" i="3"/>
  <c r="E262" i="3"/>
  <c r="F262" i="3"/>
  <c r="B263" i="3"/>
  <c r="C264" i="3"/>
  <c r="D264" i="4"/>
  <c r="E264" i="4"/>
  <c r="F264" i="4"/>
  <c r="B265" i="4"/>
  <c r="C266" i="4"/>
  <c r="D263" i="3"/>
  <c r="E263" i="3"/>
  <c r="F263" i="3"/>
  <c r="B264" i="3"/>
  <c r="C265" i="3"/>
  <c r="C267" i="4"/>
  <c r="D265" i="4"/>
  <c r="E265" i="4"/>
  <c r="F265" i="4"/>
  <c r="B266" i="4"/>
  <c r="C266" i="3"/>
  <c r="D264" i="3"/>
  <c r="E264" i="3"/>
  <c r="F264" i="3"/>
  <c r="B265" i="3"/>
  <c r="D266" i="4"/>
  <c r="E266" i="4"/>
  <c r="F266" i="4"/>
  <c r="B267" i="4"/>
  <c r="C268" i="4"/>
  <c r="D265" i="3"/>
  <c r="E265" i="3"/>
  <c r="F265" i="3"/>
  <c r="B266" i="3"/>
  <c r="C267" i="3"/>
  <c r="D267" i="4"/>
  <c r="E267" i="4"/>
  <c r="F267" i="4"/>
  <c r="B268" i="4"/>
  <c r="C269" i="4"/>
  <c r="D266" i="3"/>
  <c r="E266" i="3"/>
  <c r="F266" i="3"/>
  <c r="B267" i="3"/>
  <c r="C268" i="3"/>
  <c r="C270" i="4"/>
  <c r="D268" i="4"/>
  <c r="E268" i="4"/>
  <c r="F268" i="4"/>
  <c r="B269" i="4"/>
  <c r="C269" i="3"/>
  <c r="D267" i="3"/>
  <c r="E267" i="3"/>
  <c r="F267" i="3"/>
  <c r="B268" i="3"/>
  <c r="D269" i="4"/>
  <c r="E269" i="4"/>
  <c r="F269" i="4"/>
  <c r="B270" i="4"/>
  <c r="C271" i="4"/>
  <c r="D268" i="3"/>
  <c r="E268" i="3"/>
  <c r="F268" i="3"/>
  <c r="B269" i="3"/>
  <c r="C270" i="3"/>
  <c r="C272" i="4"/>
  <c r="D270" i="4"/>
  <c r="E270" i="4"/>
  <c r="F270" i="4"/>
  <c r="B271" i="4"/>
  <c r="D269" i="3"/>
  <c r="E269" i="3"/>
  <c r="F269" i="3"/>
  <c r="B270" i="3"/>
  <c r="C271" i="3"/>
  <c r="D271" i="4"/>
  <c r="E271" i="4"/>
  <c r="F271" i="4"/>
  <c r="B272" i="4"/>
  <c r="C273" i="4"/>
  <c r="C272" i="3"/>
  <c r="D270" i="3"/>
  <c r="E270" i="3"/>
  <c r="F270" i="3"/>
  <c r="B271" i="3"/>
  <c r="D272" i="4"/>
  <c r="E272" i="4"/>
  <c r="F272" i="4"/>
  <c r="B273" i="4"/>
  <c r="C274" i="4"/>
  <c r="D271" i="3"/>
  <c r="E271" i="3"/>
  <c r="F271" i="3"/>
  <c r="B272" i="3"/>
  <c r="C273" i="3"/>
  <c r="C275" i="4"/>
  <c r="D273" i="4"/>
  <c r="E273" i="4"/>
  <c r="F273" i="4"/>
  <c r="B274" i="4"/>
  <c r="D272" i="3"/>
  <c r="E272" i="3"/>
  <c r="F272" i="3"/>
  <c r="B273" i="3"/>
  <c r="C274" i="3"/>
  <c r="D274" i="4"/>
  <c r="E274" i="4"/>
  <c r="F274" i="4"/>
  <c r="B275" i="4"/>
  <c r="C276" i="4"/>
  <c r="C275" i="3"/>
  <c r="D273" i="3"/>
  <c r="E273" i="3"/>
  <c r="F273" i="3"/>
  <c r="B274" i="3"/>
  <c r="C277" i="4"/>
  <c r="D275" i="4"/>
  <c r="E275" i="4"/>
  <c r="F275" i="4"/>
  <c r="B276" i="4"/>
  <c r="D274" i="3"/>
  <c r="E274" i="3"/>
  <c r="F274" i="3"/>
  <c r="B275" i="3"/>
  <c r="C276" i="3"/>
  <c r="D276" i="4"/>
  <c r="E276" i="4"/>
  <c r="F276" i="4"/>
  <c r="B277" i="4"/>
  <c r="C278" i="4"/>
  <c r="D275" i="3"/>
  <c r="E275" i="3"/>
  <c r="F275" i="3"/>
  <c r="B276" i="3"/>
  <c r="C277" i="3"/>
  <c r="D277" i="4"/>
  <c r="E277" i="4"/>
  <c r="F277" i="4"/>
  <c r="B278" i="4"/>
  <c r="C279" i="4"/>
  <c r="D276" i="3"/>
  <c r="E276" i="3"/>
  <c r="F276" i="3"/>
  <c r="B277" i="3"/>
  <c r="C278" i="3"/>
  <c r="C280" i="4"/>
  <c r="D278" i="4"/>
  <c r="E278" i="4"/>
  <c r="F278" i="4"/>
  <c r="B279" i="4"/>
  <c r="C279" i="3"/>
  <c r="D277" i="3"/>
  <c r="E277" i="3"/>
  <c r="F277" i="3"/>
  <c r="B278" i="3"/>
  <c r="D279" i="4"/>
  <c r="E279" i="4"/>
  <c r="F279" i="4"/>
  <c r="B280" i="4"/>
  <c r="C281" i="4"/>
  <c r="D278" i="3"/>
  <c r="E278" i="3"/>
  <c r="F278" i="3"/>
  <c r="B279" i="3"/>
  <c r="C280" i="3"/>
  <c r="C282" i="4"/>
  <c r="D280" i="4"/>
  <c r="E280" i="4"/>
  <c r="F280" i="4"/>
  <c r="B281" i="4"/>
  <c r="D279" i="3"/>
  <c r="E279" i="3"/>
  <c r="F279" i="3"/>
  <c r="B280" i="3"/>
  <c r="C281" i="3"/>
  <c r="D281" i="4"/>
  <c r="E281" i="4"/>
  <c r="F281" i="4"/>
  <c r="B282" i="4"/>
  <c r="C283" i="4"/>
  <c r="D280" i="3"/>
  <c r="E280" i="3"/>
  <c r="F280" i="3"/>
  <c r="B281" i="3"/>
  <c r="C282" i="3"/>
  <c r="C284" i="4"/>
  <c r="D282" i="4"/>
  <c r="E282" i="4"/>
  <c r="F282" i="4"/>
  <c r="B283" i="4"/>
  <c r="D281" i="3"/>
  <c r="E281" i="3"/>
  <c r="F281" i="3"/>
  <c r="B282" i="3"/>
  <c r="C283" i="3"/>
  <c r="D283" i="4"/>
  <c r="E283" i="4"/>
  <c r="F283" i="4"/>
  <c r="B284" i="4"/>
  <c r="C285" i="4"/>
  <c r="C284" i="3"/>
  <c r="D282" i="3"/>
  <c r="E282" i="3"/>
  <c r="F282" i="3"/>
  <c r="B283" i="3"/>
  <c r="D284" i="4"/>
  <c r="E284" i="4"/>
  <c r="F284" i="4"/>
  <c r="B285" i="4"/>
  <c r="C286" i="4"/>
  <c r="D283" i="3"/>
  <c r="E283" i="3"/>
  <c r="F283" i="3"/>
  <c r="B284" i="3"/>
  <c r="C285" i="3"/>
  <c r="C287" i="4"/>
  <c r="D285" i="4"/>
  <c r="E285" i="4"/>
  <c r="F285" i="4"/>
  <c r="B286" i="4"/>
  <c r="D284" i="3"/>
  <c r="E284" i="3"/>
  <c r="F284" i="3"/>
  <c r="B285" i="3"/>
  <c r="C286" i="3"/>
  <c r="D286" i="4"/>
  <c r="E286" i="4"/>
  <c r="F286" i="4"/>
  <c r="B287" i="4"/>
  <c r="C288" i="4"/>
  <c r="D285" i="3"/>
  <c r="E285" i="3"/>
  <c r="F285" i="3"/>
  <c r="B286" i="3"/>
  <c r="C287" i="3"/>
  <c r="C289" i="4"/>
  <c r="D287" i="4"/>
  <c r="E287" i="4"/>
  <c r="F287" i="4"/>
  <c r="B288" i="4"/>
  <c r="C288" i="3"/>
  <c r="D286" i="3"/>
  <c r="E286" i="3"/>
  <c r="F286" i="3"/>
  <c r="B287" i="3"/>
  <c r="D288" i="4"/>
  <c r="E288" i="4"/>
  <c r="F288" i="4"/>
  <c r="B289" i="4"/>
  <c r="C290" i="4"/>
  <c r="D287" i="3"/>
  <c r="E287" i="3"/>
  <c r="F287" i="3"/>
  <c r="B288" i="3"/>
  <c r="C289" i="3"/>
  <c r="D289" i="4"/>
  <c r="E289" i="4"/>
  <c r="F289" i="4"/>
  <c r="B290" i="4"/>
  <c r="C291" i="4"/>
  <c r="C290" i="3"/>
  <c r="D288" i="3"/>
  <c r="E288" i="3"/>
  <c r="F288" i="3"/>
  <c r="B289" i="3"/>
  <c r="C292" i="4"/>
  <c r="D290" i="4"/>
  <c r="E290" i="4"/>
  <c r="F290" i="4"/>
  <c r="B291" i="4"/>
  <c r="D289" i="3"/>
  <c r="E289" i="3"/>
  <c r="F289" i="3"/>
  <c r="B290" i="3"/>
  <c r="C291" i="3"/>
  <c r="D291" i="4"/>
  <c r="E291" i="4"/>
  <c r="F291" i="4"/>
  <c r="B292" i="4"/>
  <c r="C293" i="4"/>
  <c r="D290" i="3"/>
  <c r="E290" i="3"/>
  <c r="F290" i="3"/>
  <c r="B291" i="3"/>
  <c r="C292" i="3"/>
  <c r="C294" i="4"/>
  <c r="D292" i="4"/>
  <c r="E292" i="4"/>
  <c r="F292" i="4"/>
  <c r="B293" i="4"/>
  <c r="D291" i="3"/>
  <c r="E291" i="3"/>
  <c r="F291" i="3"/>
  <c r="B292" i="3"/>
  <c r="C293" i="3"/>
  <c r="D293" i="4"/>
  <c r="E293" i="4"/>
  <c r="F293" i="4"/>
  <c r="B294" i="4"/>
  <c r="C295" i="4"/>
  <c r="D292" i="3"/>
  <c r="E292" i="3"/>
  <c r="F292" i="3"/>
  <c r="B293" i="3"/>
  <c r="C294" i="3"/>
  <c r="C296" i="4"/>
  <c r="D294" i="4"/>
  <c r="E294" i="4"/>
  <c r="F294" i="4"/>
  <c r="B295" i="4"/>
  <c r="D293" i="3"/>
  <c r="E293" i="3"/>
  <c r="F293" i="3"/>
  <c r="B294" i="3"/>
  <c r="C295" i="3"/>
  <c r="D295" i="4"/>
  <c r="E295" i="4"/>
  <c r="F295" i="4"/>
  <c r="B296" i="4"/>
  <c r="C297" i="4"/>
  <c r="C296" i="3"/>
  <c r="D294" i="3"/>
  <c r="E294" i="3"/>
  <c r="F294" i="3"/>
  <c r="B295" i="3"/>
  <c r="D296" i="4"/>
  <c r="E296" i="4"/>
  <c r="F296" i="4"/>
  <c r="B297" i="4"/>
  <c r="C298" i="4"/>
  <c r="D295" i="3"/>
  <c r="E295" i="3"/>
  <c r="F295" i="3"/>
  <c r="B296" i="3"/>
  <c r="C297" i="3"/>
  <c r="C299" i="4"/>
  <c r="D297" i="4"/>
  <c r="E297" i="4"/>
  <c r="F297" i="4"/>
  <c r="B298" i="4"/>
  <c r="D296" i="3"/>
  <c r="E296" i="3"/>
  <c r="F296" i="3"/>
  <c r="B297" i="3"/>
  <c r="C298" i="3"/>
  <c r="D298" i="4"/>
  <c r="E298" i="4"/>
  <c r="F298" i="4"/>
  <c r="B299" i="4"/>
  <c r="C300" i="4"/>
  <c r="D297" i="3"/>
  <c r="E297" i="3"/>
  <c r="F297" i="3"/>
  <c r="B298" i="3"/>
  <c r="C299" i="3"/>
  <c r="C301" i="4"/>
  <c r="D299" i="4"/>
  <c r="E299" i="4"/>
  <c r="F299" i="4"/>
  <c r="B300" i="4"/>
  <c r="D298" i="3"/>
  <c r="E298" i="3"/>
  <c r="F298" i="3"/>
  <c r="B299" i="3"/>
  <c r="C300" i="3"/>
  <c r="D300" i="4"/>
  <c r="E300" i="4"/>
  <c r="F300" i="4"/>
  <c r="B301" i="4"/>
  <c r="C302" i="4"/>
  <c r="D299" i="3"/>
  <c r="E299" i="3"/>
  <c r="F299" i="3"/>
  <c r="B300" i="3"/>
  <c r="C301" i="3"/>
  <c r="D301" i="4"/>
  <c r="E301" i="4"/>
  <c r="F301" i="4"/>
  <c r="B302" i="4"/>
  <c r="C303" i="4"/>
  <c r="C302" i="3"/>
  <c r="D300" i="3"/>
  <c r="E300" i="3"/>
  <c r="F300" i="3"/>
  <c r="B301" i="3"/>
  <c r="C304" i="4"/>
  <c r="D302" i="4"/>
  <c r="E302" i="4"/>
  <c r="F302" i="4"/>
  <c r="B303" i="4"/>
  <c r="D301" i="3"/>
  <c r="E301" i="3"/>
  <c r="F301" i="3"/>
  <c r="B302" i="3"/>
  <c r="C303" i="3"/>
  <c r="D303" i="4"/>
  <c r="E303" i="4"/>
  <c r="F303" i="4"/>
  <c r="B304" i="4"/>
  <c r="C305" i="4"/>
  <c r="C304" i="3"/>
  <c r="D302" i="3"/>
  <c r="E302" i="3"/>
  <c r="F302" i="3"/>
  <c r="B303" i="3"/>
  <c r="C306" i="4"/>
  <c r="D304" i="4"/>
  <c r="E304" i="4"/>
  <c r="F304" i="4"/>
  <c r="B305" i="4"/>
  <c r="D303" i="3"/>
  <c r="E303" i="3"/>
  <c r="F303" i="3"/>
  <c r="B304" i="3"/>
  <c r="C305" i="3"/>
  <c r="D305" i="4"/>
  <c r="E305" i="4"/>
  <c r="F305" i="4"/>
  <c r="B306" i="4"/>
  <c r="C307" i="4"/>
  <c r="C306" i="3"/>
  <c r="D304" i="3"/>
  <c r="E304" i="3"/>
  <c r="F304" i="3"/>
  <c r="B305" i="3"/>
  <c r="C308" i="4"/>
  <c r="D306" i="4"/>
  <c r="E306" i="4"/>
  <c r="F306" i="4"/>
  <c r="B307" i="4"/>
  <c r="D305" i="3"/>
  <c r="E305" i="3"/>
  <c r="F305" i="3"/>
  <c r="B306" i="3"/>
  <c r="C307" i="3"/>
  <c r="D307" i="4"/>
  <c r="E307" i="4"/>
  <c r="F307" i="4"/>
  <c r="B308" i="4"/>
  <c r="C309" i="4"/>
  <c r="D306" i="3"/>
  <c r="E306" i="3"/>
  <c r="F306" i="3"/>
  <c r="B307" i="3"/>
  <c r="C308" i="3"/>
  <c r="D308" i="4"/>
  <c r="E308" i="4"/>
  <c r="F308" i="4"/>
  <c r="B309" i="4"/>
  <c r="C310" i="4"/>
  <c r="D307" i="3"/>
  <c r="E307" i="3"/>
  <c r="F307" i="3"/>
  <c r="B308" i="3"/>
  <c r="C309" i="3"/>
  <c r="D309" i="4"/>
  <c r="E309" i="4"/>
  <c r="F309" i="4"/>
  <c r="B310" i="4"/>
  <c r="C311" i="4"/>
  <c r="D308" i="3"/>
  <c r="E308" i="3"/>
  <c r="F308" i="3"/>
  <c r="B309" i="3"/>
  <c r="C310" i="3"/>
  <c r="C312" i="4"/>
  <c r="D310" i="4"/>
  <c r="E310" i="4"/>
  <c r="F310" i="4"/>
  <c r="B311" i="4"/>
  <c r="D309" i="3"/>
  <c r="E309" i="3"/>
  <c r="F309" i="3"/>
  <c r="B310" i="3"/>
  <c r="C311" i="3"/>
  <c r="D311" i="4"/>
  <c r="E311" i="4"/>
  <c r="F311" i="4"/>
  <c r="B312" i="4"/>
  <c r="C313" i="4"/>
  <c r="D310" i="3"/>
  <c r="E310" i="3"/>
  <c r="F310" i="3"/>
  <c r="B311" i="3"/>
  <c r="C312" i="3"/>
  <c r="C314" i="4"/>
  <c r="D312" i="4"/>
  <c r="E312" i="4"/>
  <c r="F312" i="4"/>
  <c r="B313" i="4"/>
  <c r="D311" i="3"/>
  <c r="E311" i="3"/>
  <c r="F311" i="3"/>
  <c r="B312" i="3"/>
  <c r="C313" i="3"/>
  <c r="D313" i="4"/>
  <c r="E313" i="4"/>
  <c r="F313" i="4"/>
  <c r="B314" i="4"/>
  <c r="C315" i="4"/>
  <c r="D312" i="3"/>
  <c r="E312" i="3"/>
  <c r="F312" i="3"/>
  <c r="B313" i="3"/>
  <c r="C314" i="3"/>
  <c r="D314" i="4"/>
  <c r="E314" i="4"/>
  <c r="F314" i="4"/>
  <c r="B315" i="4"/>
  <c r="C316" i="4"/>
  <c r="C315" i="3"/>
  <c r="D313" i="3"/>
  <c r="E313" i="3"/>
  <c r="F313" i="3"/>
  <c r="B314" i="3"/>
  <c r="C317" i="4"/>
  <c r="D315" i="4"/>
  <c r="E315" i="4"/>
  <c r="F315" i="4"/>
  <c r="B316" i="4"/>
  <c r="D314" i="3"/>
  <c r="E314" i="3"/>
  <c r="F314" i="3"/>
  <c r="B315" i="3"/>
  <c r="C316" i="3"/>
  <c r="D316" i="4"/>
  <c r="E316" i="4"/>
  <c r="F316" i="4"/>
  <c r="B317" i="4"/>
  <c r="C318" i="4"/>
  <c r="D315" i="3"/>
  <c r="E315" i="3"/>
  <c r="F315" i="3"/>
  <c r="B316" i="3"/>
  <c r="C317" i="3"/>
  <c r="C319" i="4"/>
  <c r="D317" i="4"/>
  <c r="E317" i="4"/>
  <c r="F317" i="4"/>
  <c r="B318" i="4"/>
  <c r="C318" i="3"/>
  <c r="D316" i="3"/>
  <c r="E316" i="3"/>
  <c r="F316" i="3"/>
  <c r="B317" i="3"/>
  <c r="D318" i="4"/>
  <c r="E318" i="4"/>
  <c r="F318" i="4"/>
  <c r="B319" i="4"/>
  <c r="C320" i="4"/>
  <c r="D317" i="3"/>
  <c r="E317" i="3"/>
  <c r="F317" i="3"/>
  <c r="B318" i="3"/>
  <c r="C319" i="3"/>
  <c r="D319" i="4"/>
  <c r="E319" i="4"/>
  <c r="F319" i="4"/>
  <c r="B320" i="4"/>
  <c r="C321" i="4"/>
  <c r="D318" i="3"/>
  <c r="E318" i="3"/>
  <c r="F318" i="3"/>
  <c r="B319" i="3"/>
  <c r="C320" i="3"/>
  <c r="D320" i="4"/>
  <c r="E320" i="4"/>
  <c r="F320" i="4"/>
  <c r="B321" i="4"/>
  <c r="C322" i="4"/>
  <c r="D319" i="3"/>
  <c r="E319" i="3"/>
  <c r="F319" i="3"/>
  <c r="B320" i="3"/>
  <c r="C321" i="3"/>
  <c r="D321" i="4"/>
  <c r="E321" i="4"/>
  <c r="F321" i="4"/>
  <c r="B322" i="4"/>
  <c r="C323" i="4"/>
  <c r="D320" i="3"/>
  <c r="E320" i="3"/>
  <c r="F320" i="3"/>
  <c r="B321" i="3"/>
  <c r="C322" i="3"/>
  <c r="D322" i="4"/>
  <c r="E322" i="4"/>
  <c r="F322" i="4"/>
  <c r="B323" i="4"/>
  <c r="C324" i="4"/>
  <c r="D321" i="3"/>
  <c r="E321" i="3"/>
  <c r="F321" i="3"/>
  <c r="B322" i="3"/>
  <c r="C323" i="3"/>
  <c r="D323" i="4"/>
  <c r="E323" i="4"/>
  <c r="F323" i="4"/>
  <c r="B324" i="4"/>
  <c r="C325" i="4"/>
  <c r="D322" i="3"/>
  <c r="E322" i="3"/>
  <c r="F322" i="3"/>
  <c r="B323" i="3"/>
  <c r="C324" i="3"/>
  <c r="D324" i="4"/>
  <c r="E324" i="4"/>
  <c r="F324" i="4"/>
  <c r="B325" i="4"/>
  <c r="C326" i="4"/>
  <c r="C325" i="3"/>
  <c r="D323" i="3"/>
  <c r="E323" i="3"/>
  <c r="F323" i="3"/>
  <c r="B324" i="3"/>
  <c r="D325" i="4"/>
  <c r="E325" i="4"/>
  <c r="F325" i="4"/>
  <c r="B326" i="4"/>
  <c r="C327" i="4"/>
  <c r="D324" i="3"/>
  <c r="E324" i="3"/>
  <c r="F324" i="3"/>
  <c r="B325" i="3"/>
  <c r="C326" i="3"/>
  <c r="D326" i="4"/>
  <c r="E326" i="4"/>
  <c r="F326" i="4"/>
  <c r="B327" i="4"/>
  <c r="C328" i="4"/>
  <c r="D325" i="3"/>
  <c r="E325" i="3"/>
  <c r="F325" i="3"/>
  <c r="B326" i="3"/>
  <c r="C327" i="3"/>
  <c r="D327" i="4"/>
  <c r="E327" i="4"/>
  <c r="F327" i="4"/>
  <c r="B328" i="4"/>
  <c r="C329" i="4"/>
  <c r="C328" i="3"/>
  <c r="D326" i="3"/>
  <c r="E326" i="3"/>
  <c r="F326" i="3"/>
  <c r="B327" i="3"/>
  <c r="D328" i="4"/>
  <c r="E328" i="4"/>
  <c r="F328" i="4"/>
  <c r="B329" i="4"/>
  <c r="C330" i="4"/>
  <c r="D327" i="3"/>
  <c r="E327" i="3"/>
  <c r="F327" i="3"/>
  <c r="B328" i="3"/>
  <c r="C329" i="3"/>
  <c r="D329" i="4"/>
  <c r="E329" i="4"/>
  <c r="F329" i="4"/>
  <c r="B330" i="4"/>
  <c r="C331" i="4"/>
  <c r="D328" i="3"/>
  <c r="E328" i="3"/>
  <c r="F328" i="3"/>
  <c r="B329" i="3"/>
  <c r="C330" i="3"/>
  <c r="D330" i="4"/>
  <c r="E330" i="4"/>
  <c r="F330" i="4"/>
  <c r="B331" i="4"/>
  <c r="C332" i="4"/>
  <c r="D329" i="3"/>
  <c r="E329" i="3"/>
  <c r="F329" i="3"/>
  <c r="B330" i="3"/>
  <c r="C331" i="3"/>
  <c r="C333" i="4"/>
  <c r="D331" i="4"/>
  <c r="E331" i="4"/>
  <c r="F331" i="4"/>
  <c r="B332" i="4"/>
  <c r="C332" i="3"/>
  <c r="D330" i="3"/>
  <c r="E330" i="3"/>
  <c r="F330" i="3"/>
  <c r="B331" i="3"/>
  <c r="D332" i="4"/>
  <c r="E332" i="4"/>
  <c r="F332" i="4"/>
  <c r="B333" i="4"/>
  <c r="C334" i="4"/>
  <c r="D331" i="3"/>
  <c r="E331" i="3"/>
  <c r="F331" i="3"/>
  <c r="B332" i="3"/>
  <c r="C333" i="3"/>
  <c r="D333" i="4"/>
  <c r="E333" i="4"/>
  <c r="F333" i="4"/>
  <c r="B334" i="4"/>
  <c r="C335" i="4"/>
  <c r="D332" i="3"/>
  <c r="E332" i="3"/>
  <c r="F332" i="3"/>
  <c r="B333" i="3"/>
  <c r="C334" i="3"/>
  <c r="D334" i="4"/>
  <c r="E334" i="4"/>
  <c r="F334" i="4"/>
  <c r="B335" i="4"/>
  <c r="C336" i="4"/>
  <c r="C335" i="3"/>
  <c r="D333" i="3"/>
  <c r="E333" i="3"/>
  <c r="F333" i="3"/>
  <c r="B334" i="3"/>
  <c r="C337" i="4"/>
  <c r="D335" i="4"/>
  <c r="E335" i="4"/>
  <c r="F335" i="4"/>
  <c r="B336" i="4"/>
  <c r="D334" i="3"/>
  <c r="E334" i="3"/>
  <c r="F334" i="3"/>
  <c r="B335" i="3"/>
  <c r="C336" i="3"/>
  <c r="D336" i="4"/>
  <c r="E336" i="4"/>
  <c r="F336" i="4"/>
  <c r="B337" i="4"/>
  <c r="C338" i="4"/>
  <c r="D335" i="3"/>
  <c r="E335" i="3"/>
  <c r="F335" i="3"/>
  <c r="B336" i="3"/>
  <c r="C337" i="3"/>
  <c r="D337" i="4"/>
  <c r="E337" i="4"/>
  <c r="F337" i="4"/>
  <c r="B338" i="4"/>
  <c r="C339" i="4"/>
  <c r="C338" i="3"/>
  <c r="D336" i="3"/>
  <c r="E336" i="3"/>
  <c r="F336" i="3"/>
  <c r="B337" i="3"/>
  <c r="D338" i="4"/>
  <c r="E338" i="4"/>
  <c r="F338" i="4"/>
  <c r="B339" i="4"/>
  <c r="C340" i="4"/>
  <c r="D337" i="3"/>
  <c r="E337" i="3"/>
  <c r="F337" i="3"/>
  <c r="B338" i="3"/>
  <c r="C339" i="3"/>
  <c r="C341" i="4"/>
  <c r="D339" i="4"/>
  <c r="E339" i="4"/>
  <c r="F339" i="4"/>
  <c r="B340" i="4"/>
  <c r="D338" i="3"/>
  <c r="E338" i="3"/>
  <c r="F338" i="3"/>
  <c r="B339" i="3"/>
  <c r="C340" i="3"/>
  <c r="D340" i="4"/>
  <c r="E340" i="4"/>
  <c r="F340" i="4"/>
  <c r="B341" i="4"/>
  <c r="C342" i="4"/>
  <c r="D339" i="3"/>
  <c r="E339" i="3"/>
  <c r="F339" i="3"/>
  <c r="B340" i="3"/>
  <c r="C341" i="3"/>
  <c r="D341" i="4"/>
  <c r="E341" i="4"/>
  <c r="F341" i="4"/>
  <c r="B342" i="4"/>
  <c r="C343" i="4"/>
  <c r="D340" i="3"/>
  <c r="E340" i="3"/>
  <c r="F340" i="3"/>
  <c r="B341" i="3"/>
  <c r="C342" i="3"/>
  <c r="C344" i="4"/>
  <c r="D342" i="4"/>
  <c r="E342" i="4"/>
  <c r="F342" i="4"/>
  <c r="B343" i="4"/>
  <c r="D341" i="3"/>
  <c r="E341" i="3"/>
  <c r="F341" i="3"/>
  <c r="B342" i="3"/>
  <c r="C343" i="3"/>
  <c r="D343" i="4"/>
  <c r="E343" i="4"/>
  <c r="F343" i="4"/>
  <c r="B344" i="4"/>
  <c r="C345" i="4"/>
  <c r="D342" i="3"/>
  <c r="E342" i="3"/>
  <c r="F342" i="3"/>
  <c r="B343" i="3"/>
  <c r="C344" i="3"/>
  <c r="D344" i="4"/>
  <c r="E344" i="4"/>
  <c r="F344" i="4"/>
  <c r="B345" i="4"/>
  <c r="C346" i="4"/>
  <c r="D343" i="3"/>
  <c r="E343" i="3"/>
  <c r="F343" i="3"/>
  <c r="B344" i="3"/>
  <c r="C345" i="3"/>
  <c r="D345" i="4"/>
  <c r="E345" i="4"/>
  <c r="F345" i="4"/>
  <c r="B346" i="4"/>
  <c r="C347" i="4"/>
  <c r="D344" i="3"/>
  <c r="E344" i="3"/>
  <c r="F344" i="3"/>
  <c r="B345" i="3"/>
  <c r="C346" i="3"/>
  <c r="D346" i="4"/>
  <c r="E346" i="4"/>
  <c r="F346" i="4"/>
  <c r="B347" i="4"/>
  <c r="C348" i="4"/>
  <c r="D345" i="3"/>
  <c r="E345" i="3"/>
  <c r="F345" i="3"/>
  <c r="B346" i="3"/>
  <c r="C347" i="3"/>
  <c r="D347" i="4"/>
  <c r="E347" i="4"/>
  <c r="F347" i="4"/>
  <c r="B348" i="4"/>
  <c r="C349" i="4"/>
  <c r="D346" i="3"/>
  <c r="E346" i="3"/>
  <c r="F346" i="3"/>
  <c r="B347" i="3"/>
  <c r="C348" i="3"/>
  <c r="D348" i="4"/>
  <c r="E348" i="4"/>
  <c r="F348" i="4"/>
  <c r="B349" i="4"/>
  <c r="C350" i="4"/>
  <c r="D347" i="3"/>
  <c r="E347" i="3"/>
  <c r="F347" i="3"/>
  <c r="B348" i="3"/>
  <c r="C349" i="3"/>
  <c r="D349" i="4"/>
  <c r="E349" i="4"/>
  <c r="F349" i="4"/>
  <c r="B350" i="4"/>
  <c r="C351" i="4"/>
  <c r="C350" i="3"/>
  <c r="D348" i="3"/>
  <c r="E348" i="3"/>
  <c r="F348" i="3"/>
  <c r="B349" i="3"/>
  <c r="D350" i="4"/>
  <c r="E350" i="4"/>
  <c r="F350" i="4"/>
  <c r="B351" i="4"/>
  <c r="C352" i="4"/>
  <c r="D349" i="3"/>
  <c r="E349" i="3"/>
  <c r="F349" i="3"/>
  <c r="B350" i="3"/>
  <c r="C351" i="3"/>
  <c r="D351" i="4"/>
  <c r="E351" i="4"/>
  <c r="F351" i="4"/>
  <c r="B352" i="4"/>
  <c r="C353" i="4"/>
  <c r="C352" i="3"/>
  <c r="D350" i="3"/>
  <c r="E350" i="3"/>
  <c r="F350" i="3"/>
  <c r="B351" i="3"/>
  <c r="C354" i="4"/>
  <c r="D352" i="4"/>
  <c r="E352" i="4"/>
  <c r="F352" i="4"/>
  <c r="B353" i="4"/>
  <c r="D351" i="3"/>
  <c r="E351" i="3"/>
  <c r="F351" i="3"/>
  <c r="B352" i="3"/>
  <c r="C353" i="3"/>
  <c r="D353" i="4"/>
  <c r="E353" i="4"/>
  <c r="F353" i="4"/>
  <c r="B354" i="4"/>
  <c r="C355" i="4"/>
  <c r="C354" i="3"/>
  <c r="D352" i="3"/>
  <c r="E352" i="3"/>
  <c r="F352" i="3"/>
  <c r="B353" i="3"/>
  <c r="C356" i="4"/>
  <c r="D354" i="4"/>
  <c r="E354" i="4"/>
  <c r="F354" i="4"/>
  <c r="B355" i="4"/>
  <c r="D353" i="3"/>
  <c r="E353" i="3"/>
  <c r="F353" i="3"/>
  <c r="B354" i="3"/>
  <c r="C355" i="3"/>
  <c r="D355" i="4"/>
  <c r="E355" i="4"/>
  <c r="F355" i="4"/>
  <c r="B356" i="4"/>
  <c r="C357" i="4"/>
  <c r="D354" i="3"/>
  <c r="E354" i="3"/>
  <c r="F354" i="3"/>
  <c r="B355" i="3"/>
  <c r="C356" i="3"/>
  <c r="D356" i="4"/>
  <c r="E356" i="4"/>
  <c r="F356" i="4"/>
  <c r="B357" i="4"/>
  <c r="C358" i="4"/>
  <c r="D355" i="3"/>
  <c r="E355" i="3"/>
  <c r="F355" i="3"/>
  <c r="B356" i="3"/>
  <c r="C357" i="3"/>
  <c r="D357" i="4"/>
  <c r="E357" i="4"/>
  <c r="F357" i="4"/>
  <c r="B358" i="4"/>
  <c r="C359" i="4"/>
  <c r="D356" i="3"/>
  <c r="E356" i="3"/>
  <c r="F356" i="3"/>
  <c r="B357" i="3"/>
  <c r="C358" i="3"/>
  <c r="C360" i="4"/>
  <c r="D358" i="4"/>
  <c r="E358" i="4"/>
  <c r="F358" i="4"/>
  <c r="B359" i="4"/>
  <c r="C359" i="3"/>
  <c r="D357" i="3"/>
  <c r="E357" i="3"/>
  <c r="F357" i="3"/>
  <c r="B358" i="3"/>
  <c r="D359" i="4"/>
  <c r="E359" i="4"/>
  <c r="F359" i="4"/>
  <c r="B360" i="4"/>
  <c r="C361" i="4"/>
  <c r="D358" i="3"/>
  <c r="E358" i="3"/>
  <c r="F358" i="3"/>
  <c r="B359" i="3"/>
  <c r="C360" i="3"/>
  <c r="C362" i="4"/>
  <c r="D360" i="4"/>
  <c r="E360" i="4"/>
  <c r="F360" i="4"/>
  <c r="B361" i="4"/>
  <c r="C361" i="3"/>
  <c r="D359" i="3"/>
  <c r="E359" i="3"/>
  <c r="F359" i="3"/>
  <c r="B360" i="3"/>
  <c r="D361" i="4"/>
  <c r="E361" i="4"/>
  <c r="F361" i="4"/>
  <c r="B362" i="4"/>
  <c r="C363" i="4"/>
  <c r="D360" i="3"/>
  <c r="E360" i="3"/>
  <c r="F360" i="3"/>
  <c r="B361" i="3"/>
  <c r="C362" i="3"/>
  <c r="D362" i="4"/>
  <c r="E362" i="4"/>
  <c r="F362" i="4"/>
  <c r="B363" i="4"/>
  <c r="C364" i="4"/>
  <c r="C363" i="3"/>
  <c r="D361" i="3"/>
  <c r="E361" i="3"/>
  <c r="F361" i="3"/>
  <c r="B362" i="3"/>
  <c r="D363" i="4"/>
  <c r="E363" i="4"/>
  <c r="F363" i="4"/>
  <c r="B364" i="4"/>
  <c r="C365" i="4"/>
  <c r="D362" i="3"/>
  <c r="E362" i="3"/>
  <c r="F362" i="3"/>
  <c r="B363" i="3"/>
  <c r="C364" i="3"/>
  <c r="C366" i="4"/>
  <c r="D364" i="4"/>
  <c r="E364" i="4"/>
  <c r="F364" i="4"/>
  <c r="B365" i="4"/>
  <c r="D363" i="3"/>
  <c r="E363" i="3"/>
  <c r="F363" i="3"/>
  <c r="B364" i="3"/>
  <c r="C365" i="3"/>
  <c r="D365" i="4"/>
  <c r="E365" i="4"/>
  <c r="F365" i="4"/>
  <c r="B366" i="4"/>
  <c r="C367" i="4"/>
  <c r="C366" i="3"/>
  <c r="D364" i="3"/>
  <c r="E364" i="3"/>
  <c r="F364" i="3"/>
  <c r="B365" i="3"/>
  <c r="C368" i="4"/>
  <c r="D366" i="4"/>
  <c r="E366" i="4"/>
  <c r="F366" i="4"/>
  <c r="B367" i="4"/>
  <c r="D365" i="3"/>
  <c r="E365" i="3"/>
  <c r="F365" i="3"/>
  <c r="B366" i="3"/>
  <c r="C367" i="3"/>
  <c r="D367" i="4"/>
  <c r="E367" i="4"/>
  <c r="F367" i="4"/>
  <c r="B368" i="4"/>
  <c r="C369" i="4"/>
  <c r="C368" i="3"/>
  <c r="D366" i="3"/>
  <c r="E366" i="3"/>
  <c r="F366" i="3"/>
  <c r="B367" i="3"/>
  <c r="D368" i="4"/>
  <c r="E368" i="4"/>
  <c r="F368" i="4"/>
  <c r="B369" i="4"/>
  <c r="C370" i="4"/>
  <c r="D367" i="3"/>
  <c r="E367" i="3"/>
  <c r="F367" i="3"/>
  <c r="B368" i="3"/>
  <c r="C369" i="3"/>
  <c r="C371" i="4"/>
  <c r="D369" i="4"/>
  <c r="E369" i="4"/>
  <c r="F369" i="4"/>
  <c r="B370" i="4"/>
  <c r="D368" i="3"/>
  <c r="E368" i="3"/>
  <c r="F368" i="3"/>
  <c r="B369" i="3"/>
  <c r="C370" i="3"/>
  <c r="D370" i="4"/>
  <c r="E370" i="4"/>
  <c r="F370" i="4"/>
  <c r="B371" i="4"/>
  <c r="D369" i="3"/>
  <c r="E369" i="3"/>
  <c r="F369" i="3"/>
  <c r="B370" i="3"/>
  <c r="C371" i="3"/>
  <c r="D371" i="4"/>
  <c r="E371" i="4"/>
  <c r="F371" i="4"/>
  <c r="D370" i="3"/>
  <c r="E370" i="3"/>
  <c r="F370" i="3"/>
  <c r="B371" i="3"/>
  <c r="D371" i="3"/>
  <c r="E371" i="3"/>
  <c r="F37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<sst xmlns="http://schemas.openxmlformats.org/spreadsheetml/2006/main" count="293" uniqueCount="103">
  <si>
    <t>Year 1</t>
  </si>
  <si>
    <t>Year 2</t>
  </si>
  <si>
    <t>Year 3</t>
  </si>
  <si>
    <t>Year 4</t>
  </si>
  <si>
    <t>Year 5</t>
  </si>
  <si>
    <t>Initial</t>
  </si>
  <si>
    <t>Revenues</t>
  </si>
  <si>
    <t>Expenses</t>
  </si>
  <si>
    <t>NOI</t>
  </si>
  <si>
    <t>Debts servicing</t>
  </si>
  <si>
    <t>Cash flow</t>
  </si>
  <si>
    <t>Cap rate</t>
  </si>
  <si>
    <t>Purchase Price</t>
  </si>
  <si>
    <t>Mortgage rate</t>
  </si>
  <si>
    <t>Payment</t>
  </si>
  <si>
    <t>Opening</t>
  </si>
  <si>
    <t>Interest</t>
  </si>
  <si>
    <t>Capital</t>
  </si>
  <si>
    <t>Closing</t>
  </si>
  <si>
    <t>Last Year</t>
  </si>
  <si>
    <t>Actual</t>
  </si>
  <si>
    <t>Projected</t>
  </si>
  <si>
    <t>Asking Price</t>
  </si>
  <si>
    <t>Own Equity %</t>
  </si>
  <si>
    <t>Investor Equity %</t>
  </si>
  <si>
    <t>DEAL PARAMETERS</t>
  </si>
  <si>
    <t>NOI AND CASH FLOW</t>
  </si>
  <si>
    <t>Cash on exit</t>
  </si>
  <si>
    <t>IRR levered</t>
  </si>
  <si>
    <t>NPV levered</t>
  </si>
  <si>
    <t>IRR unlevered</t>
  </si>
  <si>
    <t>NPV unlevered</t>
  </si>
  <si>
    <t>LEVERED CASH FLOWS</t>
  </si>
  <si>
    <t>UNLEVERED CASH FLOWS</t>
  </si>
  <si>
    <t>Financing LTV</t>
  </si>
  <si>
    <t>Financing amount</t>
  </si>
  <si>
    <t>Equity funding</t>
  </si>
  <si>
    <t>Exit cap rate</t>
  </si>
  <si>
    <t>Investor unlevered hurdle rate</t>
  </si>
  <si>
    <t>Investor levered hurdle rate</t>
  </si>
  <si>
    <t>Asset type</t>
  </si>
  <si>
    <t>Implied Cap rate</t>
  </si>
  <si>
    <t>Mortgage monthly rate</t>
  </si>
  <si>
    <t>Mortgage amortization period</t>
  </si>
  <si>
    <t>DEBT AMORTIZATION SCHEDULE</t>
  </si>
  <si>
    <t>MOST LIKELY SCENARIO</t>
  </si>
  <si>
    <t>PESSIMISTIC SCENARIO</t>
  </si>
  <si>
    <t>OPTIMISTIC SCENARIO</t>
  </si>
  <si>
    <t>Most likely</t>
  </si>
  <si>
    <t>Pessimistic</t>
  </si>
  <si>
    <t>Optimistic</t>
  </si>
  <si>
    <t>IRR AND NPV</t>
  </si>
  <si>
    <t>Concordia University</t>
  </si>
  <si>
    <t>John Molson School of Business</t>
  </si>
  <si>
    <t>Prof: Michel Deslauriers</t>
  </si>
  <si>
    <t>Group member names:</t>
  </si>
  <si>
    <t>FINA 210 Project</t>
  </si>
  <si>
    <t>Year 6</t>
  </si>
  <si>
    <t>Acqusition expenses</t>
  </si>
  <si>
    <t>Sale expenses</t>
  </si>
  <si>
    <t>Implied Cap Rate</t>
  </si>
  <si>
    <t>Summer 2021</t>
  </si>
  <si>
    <t>NOI - Year 1</t>
  </si>
  <si>
    <t>Fall 2021</t>
  </si>
  <si>
    <t>Revenue growth percentage rate</t>
  </si>
  <si>
    <t>Expense growth percentage rate</t>
  </si>
  <si>
    <t>Other cash flow items (if required)</t>
  </si>
  <si>
    <t>Equity funding after leverage</t>
  </si>
  <si>
    <t>Own Equity funding after leverage</t>
  </si>
  <si>
    <t>Investor Equity funding after leverage</t>
  </si>
  <si>
    <t>Investment</t>
  </si>
  <si>
    <t>Multi-Residential</t>
  </si>
  <si>
    <t>Debt</t>
  </si>
  <si>
    <t>Weight</t>
  </si>
  <si>
    <t>Cost</t>
  </si>
  <si>
    <t>Equity</t>
  </si>
  <si>
    <t>WACC</t>
  </si>
  <si>
    <t xml:space="preserve">   </t>
  </si>
  <si>
    <t>PRI</t>
  </si>
  <si>
    <t>Vacancy + Credit allowance</t>
  </si>
  <si>
    <t>ERI</t>
  </si>
  <si>
    <t>Misc income</t>
  </si>
  <si>
    <t>GOI</t>
  </si>
  <si>
    <t>Operating expense</t>
  </si>
  <si>
    <t xml:space="preserve"> </t>
  </si>
  <si>
    <t xml:space="preserve"> Of sale price</t>
  </si>
  <si>
    <t>Of sale price</t>
  </si>
  <si>
    <t>Hugh Cronin</t>
  </si>
  <si>
    <t>Antonin Le Clei</t>
  </si>
  <si>
    <t>Abderrahmane Benchelabi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</si>
</sst>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0000%"/>
    <numFmt numFmtId="167" formatCode="#,##0.00;[Red]#,##0.00"/>
    <numFmt numFmtId="168" formatCode="_-* #,##0_-;\-* #,##0_-;_-* &quot;-&quot;??_-;_-@_-"/>
    <numFmt numFmtId="169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8999908444471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36">
    <xf numFmtId="0" fontId="0" fillId="0" borderId="0" xfId="0"/>
    <xf numFmtId="165" fontId="0" fillId="0" borderId="0" xfId="1" applyNumberFormat="1" applyFont="1"/>
    <xf numFmtId="3" fontId="0" fillId="0" borderId="0" xfId="0" applyNumberFormat="1"/>
    <xf numFmtId="0" fontId="0" fillId="0" borderId="5" xfId="0" applyBorder="1"/>
    <xf numFmtId="3" fontId="0" fillId="0" borderId="6" xfId="0" applyNumberFormat="1" applyBorder="1"/>
    <xf numFmtId="9" fontId="0" fillId="0" borderId="6" xfId="1" applyFont="1" applyBorder="1"/>
    <xf numFmtId="0" fontId="0" fillId="0" borderId="7" xfId="0" applyBorder="1"/>
    <xf numFmtId="165" fontId="0" fillId="0" borderId="6" xfId="1" applyNumberFormat="1" applyFont="1" applyBorder="1"/>
    <xf numFmtId="3" fontId="0" fillId="0" borderId="8" xfId="0" applyNumberFormat="1" applyBorder="1"/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5" xfId="0" applyBorder="1"/>
    <xf numFmtId="3" fontId="0" fillId="0" borderId="15" xfId="0" applyNumberFormat="1" applyBorder="1"/>
    <xf numFmtId="3" fontId="0" fillId="0" borderId="14" xfId="0" applyNumberFormat="1" applyBorder="1"/>
    <xf numFmtId="0" fontId="2" fillId="0" borderId="2" xfId="0" applyFont="1" applyBorder="1" applyAlignment="1">
      <alignment horizontal="center"/>
    </xf>
    <xf numFmtId="0" fontId="0" fillId="0" borderId="13" xfId="0" applyBorder="1"/>
    <xf numFmtId="14" fontId="0" fillId="0" borderId="2" xfId="0" applyNumberFormat="1" applyBorder="1"/>
    <xf numFmtId="0" fontId="0" fillId="0" borderId="2" xfId="0" applyBorder="1"/>
    <xf numFmtId="10" fontId="0" fillId="0" borderId="2" xfId="0" applyNumberFormat="1" applyBorder="1"/>
    <xf numFmtId="14" fontId="2" fillId="0" borderId="2" xfId="0" applyNumberFormat="1" applyFont="1" applyBorder="1" applyAlignment="1">
      <alignment horizontal="center"/>
    </xf>
    <xf numFmtId="166" fontId="0" fillId="0" borderId="6" xfId="1" applyNumberFormat="1" applyFont="1" applyBorder="1"/>
    <xf numFmtId="167" fontId="0" fillId="0" borderId="0" xfId="0" applyNumberFormat="1"/>
    <xf numFmtId="167" fontId="0" fillId="0" borderId="6" xfId="0" applyNumberFormat="1" applyBorder="1"/>
    <xf numFmtId="167" fontId="0" fillId="0" borderId="1" xfId="0" applyNumberFormat="1" applyBorder="1"/>
    <xf numFmtId="167" fontId="0" fillId="0" borderId="8" xfId="0" applyNumberFormat="1" applyBorder="1"/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167" fontId="0" fillId="0" borderId="15" xfId="0" applyNumberFormat="1" applyBorder="1"/>
    <xf numFmtId="167" fontId="0" fillId="0" borderId="14" xfId="0" applyNumberFormat="1" applyBorder="1"/>
    <xf numFmtId="0" fontId="5" fillId="0" borderId="0" xfId="0" applyFont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10" fontId="0" fillId="2" borderId="13" xfId="0" applyNumberFormat="1" applyFill="1" applyBorder="1"/>
    <xf numFmtId="10" fontId="0" fillId="2" borderId="15" xfId="0" applyNumberFormat="1" applyFill="1" applyBorder="1"/>
    <xf numFmtId="0" fontId="3" fillId="2" borderId="9" xfId="0" applyFont="1" applyFill="1" applyBorder="1"/>
    <xf numFmtId="165" fontId="0" fillId="2" borderId="14" xfId="1" applyNumberFormat="1" applyFont="1" applyFill="1" applyBorder="1"/>
    <xf numFmtId="3" fontId="0" fillId="2" borderId="15" xfId="0" applyNumberFormat="1" applyFill="1" applyBorder="1"/>
    <xf numFmtId="3" fontId="0" fillId="2" borderId="14" xfId="0" applyNumberFormat="1" applyFill="1" applyBorder="1"/>
    <xf numFmtId="38" fontId="0" fillId="0" borderId="2" xfId="0" applyNumberFormat="1" applyBorder="1"/>
    <xf numFmtId="0" fontId="2" fillId="0" borderId="0" xfId="0" applyFont="1"/>
    <xf numFmtId="0" fontId="0" fillId="0" borderId="1" xfId="0" applyBorder="1"/>
    <xf numFmtId="0" fontId="2" fillId="3" borderId="3" xfId="0" applyFont="1" applyFill="1" applyBorder="1"/>
    <xf numFmtId="0" fontId="0" fillId="3" borderId="1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8" xfId="0" applyFill="1" applyBorder="1"/>
    <xf numFmtId="0" fontId="2" fillId="0" borderId="7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14" fontId="0" fillId="0" borderId="15" xfId="0" applyNumberFormat="1" applyBorder="1"/>
    <xf numFmtId="0" fontId="2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3" fontId="0" fillId="4" borderId="15" xfId="0" applyNumberFormat="1" applyFill="1" applyBorder="1"/>
    <xf numFmtId="10" fontId="0" fillId="4" borderId="15" xfId="1" applyNumberFormat="1" applyFont="1" applyFill="1" applyBorder="1"/>
    <xf numFmtId="165" fontId="0" fillId="4" borderId="15" xfId="1" applyNumberFormat="1" applyFont="1" applyFill="1" applyBorder="1"/>
    <xf numFmtId="165" fontId="0" fillId="4" borderId="14" xfId="1" applyNumberFormat="1" applyFont="1" applyFill="1" applyBorder="1"/>
    <xf numFmtId="0" fontId="3" fillId="4" borderId="2" xfId="0" applyFont="1" applyFill="1" applyBorder="1"/>
    <xf numFmtId="0" fontId="4" fillId="4" borderId="13" xfId="0" applyFont="1" applyFill="1" applyBorder="1" applyAlignment="1">
      <alignment horizontal="left"/>
    </xf>
    <xf numFmtId="0" fontId="0" fillId="4" borderId="15" xfId="0" applyFill="1" applyBorder="1"/>
    <xf numFmtId="0" fontId="0" fillId="4" borderId="14" xfId="0" applyFill="1" applyBorder="1"/>
    <xf numFmtId="0" fontId="4" fillId="4" borderId="13" xfId="0" applyFont="1" applyFill="1" applyBorder="1" applyAlignment="1">
      <alignment horizontal="right"/>
    </xf>
    <xf numFmtId="3" fontId="0" fillId="0" borderId="5" xfId="0" applyNumberFormat="1" applyBorder="1"/>
    <xf numFmtId="3" fontId="0" fillId="0" borderId="7" xfId="0" applyNumberFormat="1" applyBorder="1"/>
    <xf numFmtId="3" fontId="0" fillId="0" borderId="13" xfId="0" applyNumberFormat="1" applyBorder="1"/>
    <xf numFmtId="165" fontId="0" fillId="5" borderId="15" xfId="1" applyNumberFormat="1" applyFont="1" applyFill="1" applyBorder="1"/>
    <xf numFmtId="0" fontId="0" fillId="0" borderId="0" xfId="0" applyFill="1" applyBorder="1"/>
    <xf numFmtId="0" fontId="0" fillId="0" borderId="0" xfId="0" applyFill="1"/>
    <xf numFmtId="0" fontId="8" fillId="0" borderId="0" xfId="2"/>
    <xf numFmtId="0" fontId="0" fillId="5" borderId="5" xfId="0" applyFill="1" applyBorder="1"/>
    <xf numFmtId="10" fontId="0" fillId="5" borderId="6" xfId="1" applyNumberFormat="1" applyFont="1" applyFill="1" applyBorder="1"/>
    <xf numFmtId="3" fontId="0" fillId="5" borderId="6" xfId="0" applyNumberFormat="1" applyFill="1" applyBorder="1"/>
    <xf numFmtId="9" fontId="0" fillId="5" borderId="6" xfId="1" applyFont="1" applyFill="1" applyBorder="1"/>
    <xf numFmtId="165" fontId="0" fillId="5" borderId="6" xfId="1" applyNumberFormat="1" applyFont="1" applyFill="1" applyBorder="1"/>
    <xf numFmtId="10" fontId="0" fillId="0" borderId="6" xfId="1" applyNumberFormat="1" applyFont="1" applyFill="1" applyBorder="1"/>
    <xf numFmtId="10" fontId="0" fillId="0" borderId="6" xfId="1" applyNumberFormat="1" applyFont="1" applyBorder="1"/>
    <xf numFmtId="9" fontId="0" fillId="0" borderId="0" xfId="0" applyNumberFormat="1"/>
    <xf numFmtId="10" fontId="0" fillId="0" borderId="0" xfId="0" applyNumberFormat="1"/>
    <xf numFmtId="10" fontId="0" fillId="0" borderId="3" xfId="0" applyNumberFormat="1" applyBorder="1"/>
    <xf numFmtId="10" fontId="0" fillId="0" borderId="11" xfId="0" applyNumberFormat="1" applyBorder="1"/>
    <xf numFmtId="10" fontId="0" fillId="0" borderId="5" xfId="0" applyNumberFormat="1" applyBorder="1"/>
    <xf numFmtId="10" fontId="0" fillId="0" borderId="0" xfId="0" applyNumberFormat="1" applyBorder="1"/>
    <xf numFmtId="10" fontId="0" fillId="0" borderId="8" xfId="1" applyNumberFormat="1" applyFont="1" applyBorder="1"/>
    <xf numFmtId="164" fontId="0" fillId="0" borderId="0" xfId="3" applyNumberFormat="1" applyFont="1"/>
    <xf numFmtId="168" fontId="0" fillId="0" borderId="2" xfId="3" applyNumberFormat="1" applyFont="1" applyBorder="1"/>
    <xf numFmtId="0" fontId="2" fillId="0" borderId="15" xfId="0" applyFont="1" applyBorder="1" applyAlignment="1">
      <alignment horizontal="center"/>
    </xf>
    <xf numFmtId="3" fontId="0" fillId="0" borderId="6" xfId="0" applyNumberFormat="1" applyBorder="1"/>
    <xf numFmtId="14" fontId="0" fillId="0" borderId="15" xfId="0" applyNumberFormat="1" applyBorder="1"/>
    <xf numFmtId="0" fontId="0" fillId="0" borderId="15" xfId="0" applyBorder="1"/>
    <xf numFmtId="0" fontId="0" fillId="0" borderId="5" xfId="0" applyBorder="1"/>
    <xf numFmtId="0" fontId="0" fillId="6" borderId="0" xfId="0" applyFill="1"/>
    <xf numFmtId="0" fontId="7" fillId="6" borderId="16" xfId="0" applyFont="1" applyFill="1" applyBorder="1"/>
    <xf numFmtId="0" fontId="7" fillId="6" borderId="16" xfId="0" applyFont="1" applyFill="1" applyBorder="1" applyAlignment="1">
      <alignment horizontal="center"/>
    </xf>
    <xf numFmtId="168" fontId="7" fillId="6" borderId="16" xfId="3" applyNumberFormat="1" applyFont="1" applyFill="1" applyBorder="1" applyAlignment="1">
      <alignment horizontal="center"/>
    </xf>
    <xf numFmtId="3" fontId="7" fillId="6" borderId="16" xfId="0" applyNumberFormat="1" applyFont="1" applyFill="1" applyBorder="1" applyAlignment="1">
      <alignment horizontal="center"/>
    </xf>
    <xf numFmtId="0" fontId="0" fillId="6" borderId="17" xfId="0" applyFill="1" applyBorder="1" applyAlignment="1">
      <alignment horizontal="left"/>
    </xf>
    <xf numFmtId="1" fontId="0" fillId="6" borderId="17" xfId="0" applyNumberFormat="1" applyFill="1" applyBorder="1" applyAlignment="1">
      <alignment horizontal="right"/>
    </xf>
    <xf numFmtId="3" fontId="0" fillId="6" borderId="17" xfId="0" applyNumberFormat="1" applyFill="1" applyBorder="1" applyAlignment="1">
      <alignment horizontal="right"/>
    </xf>
    <xf numFmtId="168" fontId="0" fillId="6" borderId="17" xfId="3" applyNumberFormat="1" applyFont="1" applyFill="1" applyBorder="1" applyAlignment="1">
      <alignment horizontal="right"/>
    </xf>
    <xf numFmtId="0" fontId="0" fillId="6" borderId="17" xfId="0" applyFill="1" applyBorder="1" applyAlignment="1">
      <alignment horizontal="right"/>
    </xf>
    <xf numFmtId="10" fontId="0" fillId="6" borderId="17" xfId="0" applyNumberFormat="1" applyFill="1" applyBorder="1" applyAlignment="1">
      <alignment horizontal="right"/>
    </xf>
    <xf numFmtId="3" fontId="0" fillId="6" borderId="17" xfId="3" applyNumberFormat="1" applyFont="1" applyFill="1" applyBorder="1" applyAlignment="1">
      <alignment horizontal="right"/>
    </xf>
    <xf numFmtId="3" fontId="0" fillId="6" borderId="0" xfId="0" applyNumberFormat="1" applyFill="1"/>
    <xf numFmtId="3" fontId="9" fillId="5" borderId="6" xfId="0" applyNumberFormat="1" applyFont="1" applyFill="1" applyBorder="1"/>
    <xf numFmtId="3" fontId="9" fillId="0" borderId="6" xfId="0" applyNumberFormat="1" applyFont="1" applyBorder="1"/>
    <xf numFmtId="10" fontId="9" fillId="0" borderId="6" xfId="1" applyNumberFormat="1" applyFont="1" applyFill="1" applyBorder="1"/>
    <xf numFmtId="10" fontId="9" fillId="0" borderId="6" xfId="1" applyNumberFormat="1" applyFont="1" applyBorder="1"/>
    <xf numFmtId="9" fontId="9" fillId="5" borderId="6" xfId="1" applyFont="1" applyFill="1" applyBorder="1"/>
    <xf numFmtId="165" fontId="9" fillId="5" borderId="6" xfId="1" applyNumberFormat="1" applyFont="1" applyFill="1" applyBorder="1"/>
    <xf numFmtId="166" fontId="9" fillId="0" borderId="6" xfId="1" applyNumberFormat="1" applyFont="1" applyBorder="1"/>
    <xf numFmtId="9" fontId="9" fillId="0" borderId="6" xfId="1" applyFont="1" applyBorder="1"/>
    <xf numFmtId="10" fontId="9" fillId="5" borderId="6" xfId="1" applyNumberFormat="1" applyFont="1" applyFill="1" applyBorder="1"/>
    <xf numFmtId="10" fontId="9" fillId="0" borderId="8" xfId="1" applyNumberFormat="1" applyFont="1" applyBorder="1"/>
    <xf numFmtId="169" fontId="0" fillId="0" borderId="2" xfId="3" applyNumberFormat="1" applyFont="1" applyBorder="1"/>
    <xf numFmtId="0" fontId="0" fillId="0" borderId="18" xfId="0" applyBorder="1"/>
    <xf numFmtId="3" fontId="0" fillId="0" borderId="19" xfId="0" applyNumberFormat="1" applyBorder="1"/>
    <xf numFmtId="3" fontId="0" fillId="0" borderId="20" xfId="0" applyNumberFormat="1" applyBorder="1"/>
    <xf numFmtId="0" fontId="0" fillId="0" borderId="21" xfId="0" applyBorder="1"/>
    <xf numFmtId="3" fontId="0" fillId="0" borderId="21" xfId="0" applyNumberFormat="1" applyBorder="1"/>
    <xf numFmtId="169" fontId="0" fillId="0" borderId="21" xfId="3" applyNumberFormat="1" applyFont="1" applyBorder="1"/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0" fontId="9" fillId="0" borderId="6" xfId="0" applyNumberFormat="1" applyFont="1" applyBorder="1"/>
    <xf numFmtId="10" fontId="0" fillId="0" borderId="6" xfId="0" applyNumberFormat="1" applyBorder="1"/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504825</xdr:colOff>
      <xdr:row>17</xdr:row>
      <xdr:rowOff>171450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1CC1B0-5D5B-4BCF-8BB9-AC6E85B23553}"/>
            </a:ext>
          </a:extLst>
        </xdr:cNvPr>
        <xdr:cNvSpPr txBox="1"/>
      </xdr:nvSpPr>
      <xdr:spPr>
        <a:xfrm>
          <a:off x="11010900" y="4391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5E17-FB29-402E-B091-C72E5316C560}">
  <dimension ref="A1:K47"/>
  <sheetViews>
    <sheetView workbookViewId="0">
      <selection activeCell="K28" sqref="K28"/>
    </sheetView>
  </sheetViews>
  <sheetFormatPr defaultRowHeight="15" x14ac:dyDescent="0.2"/>
  <cols>
    <col min="1" max="1" width="33.359375" customWidth="1"/>
    <col min="2" max="4" width="16.94921875" customWidth="1"/>
  </cols>
  <sheetData>
    <row r="1" spans="1:11" x14ac:dyDescent="0.2">
      <c r="A1" s="41" t="s">
        <v>52</v>
      </c>
      <c r="D1" s="43" t="s">
        <v>55</v>
      </c>
      <c r="E1" s="44"/>
      <c r="F1" s="44" t="s">
        <v>87</v>
      </c>
      <c r="G1" s="44"/>
      <c r="H1" s="44"/>
      <c r="I1" s="44"/>
      <c r="J1" s="44"/>
      <c r="K1" s="45"/>
    </row>
    <row r="2" spans="1:11" x14ac:dyDescent="0.2">
      <c r="A2" s="41" t="s">
        <v>53</v>
      </c>
      <c r="D2" s="46"/>
      <c r="E2" s="47"/>
      <c r="F2" s="47" t="s">
        <v>88</v>
      </c>
      <c r="G2" s="47"/>
      <c r="H2" s="47"/>
      <c r="I2" s="47"/>
      <c r="J2" s="47"/>
      <c r="K2" s="48"/>
    </row>
    <row r="3" spans="1:11" x14ac:dyDescent="0.2">
      <c r="A3" s="41" t="s">
        <v>56</v>
      </c>
      <c r="D3" s="46"/>
      <c r="E3" s="47"/>
      <c r="F3" s="47" t="s">
        <v>89</v>
      </c>
      <c r="G3" s="47"/>
      <c r="H3" s="47"/>
      <c r="I3" s="47"/>
      <c r="J3" s="47"/>
      <c r="K3" s="48"/>
    </row>
    <row r="4" spans="1:11" x14ac:dyDescent="0.2">
      <c r="A4" s="41" t="s">
        <v>54</v>
      </c>
      <c r="D4" s="46"/>
      <c r="E4" s="47"/>
      <c r="F4" s="47"/>
      <c r="G4" s="47"/>
      <c r="H4" s="47"/>
      <c r="I4" s="47"/>
      <c r="J4" s="47"/>
      <c r="K4" s="48"/>
    </row>
    <row r="5" spans="1:11" x14ac:dyDescent="0.2">
      <c r="A5" s="54" t="s">
        <v>63</v>
      </c>
      <c r="B5" s="42"/>
      <c r="D5" s="49"/>
      <c r="E5" s="50"/>
      <c r="F5" s="50"/>
      <c r="G5" s="50"/>
      <c r="H5" s="50"/>
      <c r="I5" s="50"/>
      <c r="J5" s="50"/>
      <c r="K5" s="51"/>
    </row>
    <row r="9" spans="1:11" x14ac:dyDescent="0.2">
      <c r="A9" s="53" t="s">
        <v>61</v>
      </c>
    </row>
    <row r="10" spans="1:11" x14ac:dyDescent="0.2">
      <c r="A10" s="64" t="s">
        <v>25</v>
      </c>
      <c r="B10" s="59" t="s">
        <v>48</v>
      </c>
      <c r="C10" s="59" t="s">
        <v>49</v>
      </c>
      <c r="D10" s="59" t="s">
        <v>50</v>
      </c>
    </row>
    <row r="11" spans="1:11" x14ac:dyDescent="0.2">
      <c r="A11" s="65" t="s">
        <v>40</v>
      </c>
      <c r="B11" s="68" t="str">
        <f>+Likely!B4</f>
        <v>Multi-Residential</v>
      </c>
      <c r="C11" s="68" t="str">
        <f>+Pessimistic!B4</f>
        <v>Multi-Residential</v>
      </c>
      <c r="D11" s="68" t="str">
        <f>+Optimistic!B4</f>
        <v>Multi-Residential</v>
      </c>
    </row>
    <row r="12" spans="1:11" x14ac:dyDescent="0.2">
      <c r="A12" s="66" t="s">
        <v>22</v>
      </c>
      <c r="B12" s="60">
        <f>+Likely!B5</f>
        <v>2685000</v>
      </c>
      <c r="C12" s="60">
        <f>+Pessimistic!B5</f>
        <v>2685000</v>
      </c>
      <c r="D12" s="60">
        <f>+Optimistic!B5</f>
        <v>2685000</v>
      </c>
    </row>
    <row r="13" spans="1:11" x14ac:dyDescent="0.2">
      <c r="A13" s="66" t="s">
        <v>62</v>
      </c>
      <c r="B13" s="60">
        <f>+Likely!B6</f>
        <v>118974.33399999999</v>
      </c>
      <c r="C13" s="60">
        <f>+Pessimistic!B6</f>
        <v>116134.148</v>
      </c>
      <c r="D13" s="60">
        <f>+Optimistic!B6</f>
        <v>120940.42079999999</v>
      </c>
    </row>
    <row r="14" spans="1:11" x14ac:dyDescent="0.2">
      <c r="A14" s="66" t="s">
        <v>60</v>
      </c>
      <c r="B14" s="61">
        <f>+Likely!B7</f>
        <v>4.4310738919925506E-2</v>
      </c>
      <c r="C14" s="61">
        <f>+Pessimistic!B7</f>
        <v>4.3252941527001862E-2</v>
      </c>
      <c r="D14" s="61">
        <f>+Optimistic!B7</f>
        <v>4.5042987262569827E-2</v>
      </c>
    </row>
    <row r="15" spans="1:11" x14ac:dyDescent="0.2">
      <c r="A15" s="66" t="s">
        <v>12</v>
      </c>
      <c r="B15" s="60">
        <f>+Likely!B8</f>
        <v>2685000</v>
      </c>
      <c r="C15" s="60">
        <f>+Pessimistic!B8</f>
        <v>2695000</v>
      </c>
      <c r="D15" s="60">
        <f>+Optimistic!B8</f>
        <v>2675000</v>
      </c>
    </row>
    <row r="16" spans="1:11" x14ac:dyDescent="0.2">
      <c r="A16" s="66" t="s">
        <v>11</v>
      </c>
      <c r="B16" s="61">
        <f>+Likely!B9</f>
        <v>4.4310738919925506E-2</v>
      </c>
      <c r="C16" s="61">
        <f>+Pessimistic!B9</f>
        <v>4.3092448237476808E-2</v>
      </c>
      <c r="D16" s="61">
        <f>+Optimistic!B9</f>
        <v>4.5211372261682238E-2</v>
      </c>
    </row>
    <row r="17" spans="1:4" x14ac:dyDescent="0.2">
      <c r="A17" s="66" t="s">
        <v>35</v>
      </c>
      <c r="B17" s="60">
        <f>+Likely!B12</f>
        <v>1745250</v>
      </c>
      <c r="C17" s="60">
        <f>+Pessimistic!B12</f>
        <v>1617000</v>
      </c>
      <c r="D17" s="60">
        <f>+Optimistic!B12</f>
        <v>1872499.9999999998</v>
      </c>
    </row>
    <row r="18" spans="1:4" x14ac:dyDescent="0.2">
      <c r="A18" s="66" t="s">
        <v>13</v>
      </c>
      <c r="B18" s="61">
        <f>+Likely!B13</f>
        <v>3.9E-2</v>
      </c>
      <c r="C18" s="61">
        <f>+Pessimistic!B13</f>
        <v>4.2000000000000003E-2</v>
      </c>
      <c r="D18" s="61">
        <f>+Optimistic!B13</f>
        <v>3.5000000000000003E-2</v>
      </c>
    </row>
    <row r="19" spans="1:4" x14ac:dyDescent="0.2">
      <c r="A19" s="66" t="s">
        <v>43</v>
      </c>
      <c r="B19" s="60">
        <f>+Likely!B15</f>
        <v>25</v>
      </c>
      <c r="C19" s="60">
        <f>+Pessimistic!B15</f>
        <v>25</v>
      </c>
      <c r="D19" s="60">
        <f>+Optimistic!B15</f>
        <v>25</v>
      </c>
    </row>
    <row r="20" spans="1:4" x14ac:dyDescent="0.2">
      <c r="A20" s="66" t="s">
        <v>36</v>
      </c>
      <c r="B20" s="60">
        <f>+Likely!B16</f>
        <v>993450</v>
      </c>
      <c r="C20" s="60">
        <f>+Pessimistic!B16</f>
        <v>1131900</v>
      </c>
      <c r="D20" s="60">
        <f>+Optimistic!B16</f>
        <v>856000.00000000023</v>
      </c>
    </row>
    <row r="21" spans="1:4" x14ac:dyDescent="0.2">
      <c r="A21" s="66" t="s">
        <v>37</v>
      </c>
      <c r="B21" s="61">
        <f>+Likely!B21</f>
        <v>4.4310738919925506E-2</v>
      </c>
      <c r="C21" s="61">
        <f>+Pessimistic!B21</f>
        <v>4.4999999999999998E-2</v>
      </c>
      <c r="D21" s="61">
        <f>+Optimistic!B21</f>
        <v>4.2999999999999997E-2</v>
      </c>
    </row>
    <row r="22" spans="1:4" x14ac:dyDescent="0.2">
      <c r="A22" s="66" t="s">
        <v>38</v>
      </c>
      <c r="B22" s="62">
        <f>+Likely!B23</f>
        <v>5.4310738919925508E-2</v>
      </c>
      <c r="C22" s="62">
        <f>+Pessimistic!B23</f>
        <v>0.06</v>
      </c>
      <c r="D22" s="62">
        <f>+Optimistic!B23</f>
        <v>6.3E-2</v>
      </c>
    </row>
    <row r="23" spans="1:4" x14ac:dyDescent="0.2">
      <c r="A23" s="67" t="s">
        <v>39</v>
      </c>
      <c r="B23" s="63">
        <f>+Likely!B24</f>
        <v>8.2699999999999996E-2</v>
      </c>
      <c r="C23" s="63">
        <f>+Pessimistic!B24</f>
        <v>8.7099999999999997E-2</v>
      </c>
      <c r="D23" s="63">
        <f>+Optimistic!B24</f>
        <v>0.12839999999999999</v>
      </c>
    </row>
    <row r="24" spans="1:4" x14ac:dyDescent="0.2">
      <c r="A24" s="36" t="s">
        <v>51</v>
      </c>
      <c r="B24" s="37"/>
      <c r="C24" s="37"/>
      <c r="D24" s="37"/>
    </row>
    <row r="25" spans="1:4" x14ac:dyDescent="0.2">
      <c r="A25" s="31" t="s">
        <v>30</v>
      </c>
      <c r="B25" s="34">
        <f>+Likely!B52</f>
        <v>7.1442256403431603E-2</v>
      </c>
      <c r="C25" s="34">
        <f>+Pessimistic!B52</f>
        <v>5.2791467038870721E-2</v>
      </c>
      <c r="D25" s="34">
        <f>+Optimistic!B52</f>
        <v>9.0764350140147387E-2</v>
      </c>
    </row>
    <row r="26" spans="1:4" x14ac:dyDescent="0.2">
      <c r="A26" s="32" t="s">
        <v>31</v>
      </c>
      <c r="B26" s="38">
        <f>+Likely!B53</f>
        <v>211475.04753834242</v>
      </c>
      <c r="C26" s="38">
        <f>+Pessimistic!B53</f>
        <v>-85013.866344597191</v>
      </c>
      <c r="D26" s="38">
        <f>+Optimistic!B53</f>
        <v>345330.11802432174</v>
      </c>
    </row>
    <row r="27" spans="1:4" x14ac:dyDescent="0.2">
      <c r="A27" s="32" t="s">
        <v>28</v>
      </c>
      <c r="B27" s="35">
        <f>+Likely!B65</f>
        <v>0.11726757700382029</v>
      </c>
      <c r="C27" s="35">
        <f>+Pessimistic!B65</f>
        <v>6.7119594792242498E-2</v>
      </c>
      <c r="D27" s="35">
        <f>+Optimistic!B65</f>
        <v>0.17787467866707773</v>
      </c>
    </row>
    <row r="28" spans="1:4" x14ac:dyDescent="0.2">
      <c r="A28" s="33" t="s">
        <v>29</v>
      </c>
      <c r="B28" s="39">
        <f>+Likely!B66</f>
        <v>165007.82179009146</v>
      </c>
      <c r="C28" s="39">
        <f>+Pessimistic!B66</f>
        <v>-97933.593841837137</v>
      </c>
      <c r="D28" s="39">
        <f>+Optimistic!B66</f>
        <v>199776.09264071519</v>
      </c>
    </row>
    <row r="31" spans="1:4" x14ac:dyDescent="0.2">
      <c r="A31" s="73"/>
      <c r="B31" s="75"/>
    </row>
    <row r="32" spans="1:4" x14ac:dyDescent="0.2">
      <c r="A32" s="73"/>
      <c r="B32" s="75"/>
    </row>
    <row r="33" spans="1:5" x14ac:dyDescent="0.2">
      <c r="A33" s="74"/>
      <c r="B33" s="75"/>
    </row>
    <row r="34" spans="1:5" x14ac:dyDescent="0.2">
      <c r="A34" s="74"/>
      <c r="B34" s="75"/>
    </row>
    <row r="35" spans="1:5" x14ac:dyDescent="0.2">
      <c r="A35" s="74"/>
      <c r="B35" s="75"/>
    </row>
    <row r="36" spans="1:5" x14ac:dyDescent="0.2">
      <c r="A36" s="74"/>
      <c r="B36" s="75"/>
    </row>
    <row r="37" spans="1:5" x14ac:dyDescent="0.2">
      <c r="A37" s="74"/>
      <c r="B37" s="75"/>
      <c r="E37" s="75"/>
    </row>
    <row r="39" spans="1:5" x14ac:dyDescent="0.2">
      <c r="A39" s="74"/>
    </row>
    <row r="40" spans="1:5" x14ac:dyDescent="0.2">
      <c r="A40" s="74"/>
    </row>
    <row r="41" spans="1:5" x14ac:dyDescent="0.2">
      <c r="A41" s="74"/>
    </row>
    <row r="42" spans="1:5" x14ac:dyDescent="0.2">
      <c r="A42" s="74"/>
    </row>
    <row r="47" spans="1:5" x14ac:dyDescent="0.2">
      <c r="C47" s="7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8A1B-BF34-4095-B06E-F55C2C92D0A8}">
  <dimension ref="A1:W371"/>
  <sheetViews>
    <sheetView showGridLines="0" workbookViewId="0">
      <selection activeCell="C23" sqref="C23"/>
    </sheetView>
  </sheetViews>
  <sheetFormatPr defaultRowHeight="15" x14ac:dyDescent="0.2"/>
  <cols>
    <col min="1" max="1" width="37.53125" customWidth="1"/>
    <col min="2" max="7" width="13.98828125" customWidth="1"/>
    <col min="8" max="8" width="11.97265625" customWidth="1"/>
    <col min="11" max="11" width="10.22265625" bestFit="1" customWidth="1"/>
    <col min="17" max="17" width="10.22265625" bestFit="1" customWidth="1"/>
  </cols>
  <sheetData>
    <row r="1" spans="1:7" ht="23.25" x14ac:dyDescent="0.3">
      <c r="A1" s="30" t="s">
        <v>45</v>
      </c>
    </row>
    <row r="3" spans="1:7" x14ac:dyDescent="0.2">
      <c r="A3" s="127" t="s">
        <v>25</v>
      </c>
      <c r="B3" s="127"/>
      <c r="D3" t="s">
        <v>78</v>
      </c>
      <c r="F3" s="122">
        <f>+$B$34</f>
        <v>168096</v>
      </c>
    </row>
    <row r="4" spans="1:7" x14ac:dyDescent="0.2">
      <c r="A4" s="55" t="s">
        <v>40</v>
      </c>
      <c r="B4" s="56" t="s">
        <v>71</v>
      </c>
      <c r="D4" t="s">
        <v>79</v>
      </c>
      <c r="F4" s="124">
        <f>1.5%*F3</f>
        <v>2521.44</v>
      </c>
    </row>
    <row r="5" spans="1:7" x14ac:dyDescent="0.2">
      <c r="A5" s="76" t="s">
        <v>22</v>
      </c>
      <c r="B5" s="110">
        <v>2685000</v>
      </c>
      <c r="D5" t="s">
        <v>80</v>
      </c>
      <c r="F5" s="123">
        <f>F3-F4</f>
        <v>165574.56</v>
      </c>
    </row>
    <row r="6" spans="1:7" x14ac:dyDescent="0.2">
      <c r="A6" s="3" t="s">
        <v>62</v>
      </c>
      <c r="B6" s="111">
        <f>C36</f>
        <v>118974.33399999999</v>
      </c>
      <c r="D6" t="s">
        <v>81</v>
      </c>
      <c r="E6" s="2"/>
      <c r="F6" s="124">
        <v>0</v>
      </c>
    </row>
    <row r="7" spans="1:7" x14ac:dyDescent="0.2">
      <c r="A7" s="3" t="s">
        <v>41</v>
      </c>
      <c r="B7" s="112">
        <f>B6/B5</f>
        <v>4.4310738919925506E-2</v>
      </c>
      <c r="D7" t="s">
        <v>82</v>
      </c>
      <c r="E7" s="2"/>
      <c r="F7" s="123">
        <f>F5</f>
        <v>165574.56</v>
      </c>
    </row>
    <row r="8" spans="1:7" x14ac:dyDescent="0.2">
      <c r="A8" s="3" t="s">
        <v>12</v>
      </c>
      <c r="B8" s="111">
        <v>2685000</v>
      </c>
      <c r="D8" t="s">
        <v>83</v>
      </c>
      <c r="E8" s="2"/>
      <c r="F8" s="125">
        <f>51142</f>
        <v>51142</v>
      </c>
    </row>
    <row r="9" spans="1:7" x14ac:dyDescent="0.2">
      <c r="A9" s="3" t="s">
        <v>11</v>
      </c>
      <c r="B9" s="113">
        <f>B6/B8</f>
        <v>4.4310738919925506E-2</v>
      </c>
      <c r="D9" t="s">
        <v>8</v>
      </c>
      <c r="E9" s="2"/>
      <c r="F9" s="123">
        <f>F7-F8</f>
        <v>114432.56</v>
      </c>
    </row>
    <row r="10" spans="1:7" x14ac:dyDescent="0.2">
      <c r="A10" s="3" t="s">
        <v>58</v>
      </c>
      <c r="B10" s="111">
        <f>0.02*B8</f>
        <v>53700</v>
      </c>
      <c r="E10" s="2"/>
    </row>
    <row r="11" spans="1:7" x14ac:dyDescent="0.2">
      <c r="A11" s="76" t="s">
        <v>34</v>
      </c>
      <c r="B11" s="114">
        <v>0.65</v>
      </c>
      <c r="E11" s="2"/>
    </row>
    <row r="12" spans="1:7" x14ac:dyDescent="0.2">
      <c r="A12" s="3" t="s">
        <v>35</v>
      </c>
      <c r="B12" s="111">
        <f>B11*B8</f>
        <v>1745250</v>
      </c>
    </row>
    <row r="13" spans="1:7" x14ac:dyDescent="0.2">
      <c r="A13" s="76" t="s">
        <v>13</v>
      </c>
      <c r="B13" s="115">
        <v>3.9E-2</v>
      </c>
    </row>
    <row r="14" spans="1:7" x14ac:dyDescent="0.2">
      <c r="A14" s="3" t="s">
        <v>42</v>
      </c>
      <c r="B14" s="116">
        <f>NOMINAL(EFFECT(B13,2),12)/12</f>
        <v>3.2239041420127901E-3</v>
      </c>
      <c r="E14" t="s">
        <v>73</v>
      </c>
      <c r="F14" t="s">
        <v>74</v>
      </c>
      <c r="G14" s="121" t="s">
        <v>76</v>
      </c>
    </row>
    <row r="15" spans="1:7" x14ac:dyDescent="0.2">
      <c r="A15" s="76" t="s">
        <v>43</v>
      </c>
      <c r="B15" s="110">
        <v>25</v>
      </c>
      <c r="D15" t="s">
        <v>72</v>
      </c>
      <c r="E15" s="85">
        <f>B11</f>
        <v>0.65</v>
      </c>
      <c r="F15" s="86">
        <f>B13</f>
        <v>3.9E-2</v>
      </c>
      <c r="G15" s="84"/>
    </row>
    <row r="16" spans="1:7" x14ac:dyDescent="0.2">
      <c r="A16" s="3" t="s">
        <v>67</v>
      </c>
      <c r="B16" s="111">
        <f>B8-B12+B10</f>
        <v>993450</v>
      </c>
      <c r="C16" t="s">
        <v>84</v>
      </c>
      <c r="D16" t="s">
        <v>75</v>
      </c>
      <c r="E16" s="87">
        <f>1-E15</f>
        <v>0.35</v>
      </c>
      <c r="F16" s="88">
        <v>8.2699999999999996E-2</v>
      </c>
      <c r="G16" s="84"/>
    </row>
    <row r="17" spans="1:14" x14ac:dyDescent="0.2">
      <c r="A17" s="3" t="s">
        <v>23</v>
      </c>
      <c r="B17" s="117">
        <v>0.5</v>
      </c>
      <c r="E17" s="84"/>
      <c r="F17" s="84">
        <f>(E15*F15)+(E16*F16)</f>
        <v>5.4294999999999996E-2</v>
      </c>
      <c r="G17" s="84">
        <f>B23</f>
        <v>5.4310738919925508E-2</v>
      </c>
    </row>
    <row r="18" spans="1:14" x14ac:dyDescent="0.2">
      <c r="A18" s="3" t="s">
        <v>24</v>
      </c>
      <c r="B18" s="117">
        <v>0.5</v>
      </c>
      <c r="G18" s="2"/>
    </row>
    <row r="19" spans="1:14" x14ac:dyDescent="0.2">
      <c r="A19" s="3" t="s">
        <v>68</v>
      </c>
      <c r="B19" s="111">
        <f>B17*B16</f>
        <v>496725</v>
      </c>
      <c r="G19" s="2"/>
      <c r="J19" s="2"/>
    </row>
    <row r="20" spans="1:14" x14ac:dyDescent="0.2">
      <c r="A20" s="3" t="s">
        <v>69</v>
      </c>
      <c r="B20" s="111">
        <f>B18*B16</f>
        <v>496725</v>
      </c>
      <c r="G20" s="2"/>
    </row>
    <row r="21" spans="1:14" x14ac:dyDescent="0.2">
      <c r="A21" s="76" t="s">
        <v>37</v>
      </c>
      <c r="B21" s="118">
        <f>B7</f>
        <v>4.4310738919925506E-2</v>
      </c>
    </row>
    <row r="22" spans="1:14" x14ac:dyDescent="0.2">
      <c r="A22" s="3" t="s">
        <v>59</v>
      </c>
      <c r="B22" s="134">
        <v>0.04</v>
      </c>
      <c r="C22" t="s">
        <v>86</v>
      </c>
      <c r="N22" s="90"/>
    </row>
    <row r="23" spans="1:14" x14ac:dyDescent="0.2">
      <c r="A23" s="3" t="s">
        <v>38</v>
      </c>
      <c r="B23" s="113">
        <f>B21+0.01</f>
        <v>5.4310738919925508E-2</v>
      </c>
    </row>
    <row r="24" spans="1:14" x14ac:dyDescent="0.2">
      <c r="A24" s="6" t="s">
        <v>39</v>
      </c>
      <c r="B24" s="119">
        <f>F16</f>
        <v>8.2699999999999996E-2</v>
      </c>
    </row>
    <row r="27" spans="1:14" x14ac:dyDescent="0.2">
      <c r="A27" s="127" t="s">
        <v>26</v>
      </c>
      <c r="B27" s="127"/>
      <c r="C27" s="127"/>
      <c r="D27" s="127"/>
      <c r="E27" s="127"/>
      <c r="F27" s="127"/>
      <c r="G27" s="127"/>
      <c r="H27" s="127"/>
    </row>
    <row r="28" spans="1:14" x14ac:dyDescent="0.2">
      <c r="A28" s="3"/>
      <c r="B28" s="52" t="s">
        <v>20</v>
      </c>
      <c r="C28" s="131" t="s">
        <v>21</v>
      </c>
      <c r="D28" s="131"/>
      <c r="E28" s="131"/>
      <c r="F28" s="131"/>
      <c r="G28" s="131"/>
      <c r="H28" s="131"/>
    </row>
    <row r="29" spans="1:14" x14ac:dyDescent="0.2">
      <c r="A29" s="3"/>
      <c r="B29" s="11" t="s">
        <v>19</v>
      </c>
      <c r="C29" s="11" t="s">
        <v>0</v>
      </c>
      <c r="D29" s="11" t="s">
        <v>1</v>
      </c>
      <c r="E29" s="11" t="s">
        <v>2</v>
      </c>
      <c r="F29" s="11" t="s">
        <v>3</v>
      </c>
      <c r="G29" s="11" t="s">
        <v>4</v>
      </c>
      <c r="H29" s="11" t="s">
        <v>57</v>
      </c>
    </row>
    <row r="30" spans="1:14" x14ac:dyDescent="0.2">
      <c r="A30" s="3"/>
      <c r="B30" s="12"/>
      <c r="C30" s="12"/>
      <c r="D30" s="12"/>
      <c r="E30" s="16"/>
      <c r="F30" s="16"/>
      <c r="G30" s="16"/>
      <c r="H30" s="16"/>
    </row>
    <row r="31" spans="1:14" x14ac:dyDescent="0.2">
      <c r="A31" s="3" t="s">
        <v>64</v>
      </c>
      <c r="B31" s="12"/>
      <c r="C31" s="72">
        <v>3.5000000000000003E-2</v>
      </c>
      <c r="D31" s="72">
        <v>3.5000000000000003E-2</v>
      </c>
      <c r="E31" s="72">
        <v>3.5000000000000003E-2</v>
      </c>
      <c r="F31" s="72">
        <v>3.5000000000000003E-2</v>
      </c>
      <c r="G31" s="72">
        <v>3.5000000000000003E-2</v>
      </c>
      <c r="H31" s="72">
        <v>3.5000000000000003E-2</v>
      </c>
    </row>
    <row r="32" spans="1:14" x14ac:dyDescent="0.2">
      <c r="A32" s="3" t="s">
        <v>65</v>
      </c>
      <c r="B32" s="12"/>
      <c r="C32" s="72">
        <v>2.5000000000000001E-2</v>
      </c>
      <c r="D32" s="72">
        <v>2.5000000000000001E-2</v>
      </c>
      <c r="E32" s="72">
        <v>2.5000000000000001E-2</v>
      </c>
      <c r="F32" s="72">
        <v>2.5000000000000001E-2</v>
      </c>
      <c r="G32" s="72">
        <v>2.5000000000000001E-2</v>
      </c>
      <c r="H32" s="72">
        <v>2.5000000000000001E-2</v>
      </c>
    </row>
    <row r="33" spans="1:23" x14ac:dyDescent="0.2">
      <c r="A33" s="96"/>
      <c r="B33" s="95"/>
      <c r="C33" s="95"/>
      <c r="D33" s="95"/>
      <c r="E33" s="95"/>
      <c r="F33" s="95"/>
      <c r="G33" s="95"/>
      <c r="H33" s="12"/>
    </row>
    <row r="34" spans="1:23" x14ac:dyDescent="0.2">
      <c r="A34" s="3" t="s">
        <v>6</v>
      </c>
      <c r="B34" s="13">
        <v>168096</v>
      </c>
      <c r="C34" s="13">
        <f t="shared" ref="C34:H35" si="0">+B34*(1+C31)</f>
        <v>173979.36</v>
      </c>
      <c r="D34" s="13">
        <f t="shared" si="0"/>
        <v>180068.63759999996</v>
      </c>
      <c r="E34" s="13">
        <f t="shared" si="0"/>
        <v>186371.03991599995</v>
      </c>
      <c r="F34" s="13">
        <f t="shared" si="0"/>
        <v>192894.02631305993</v>
      </c>
      <c r="G34" s="13">
        <f t="shared" si="0"/>
        <v>199645.31723401701</v>
      </c>
      <c r="H34" s="13">
        <f t="shared" si="0"/>
        <v>206632.90333720759</v>
      </c>
      <c r="P34" s="98"/>
      <c r="Q34" s="99"/>
      <c r="R34" s="99"/>
      <c r="S34" s="100"/>
      <c r="T34" s="99"/>
      <c r="U34" s="99"/>
      <c r="V34" s="99"/>
      <c r="W34" s="101"/>
    </row>
    <row r="35" spans="1:23" x14ac:dyDescent="0.2">
      <c r="A35" s="3" t="s">
        <v>7</v>
      </c>
      <c r="B35" s="13">
        <f>F8+F4</f>
        <v>53663.44</v>
      </c>
      <c r="C35" s="14">
        <f t="shared" si="0"/>
        <v>55005.025999999998</v>
      </c>
      <c r="D35" s="14">
        <f t="shared" si="0"/>
        <v>56380.151649999993</v>
      </c>
      <c r="E35" s="14">
        <f t="shared" si="0"/>
        <v>57789.65544124999</v>
      </c>
      <c r="F35" s="14">
        <f t="shared" si="0"/>
        <v>59234.396827281234</v>
      </c>
      <c r="G35" s="14">
        <f t="shared" si="0"/>
        <v>60715.256747963263</v>
      </c>
      <c r="H35" s="14">
        <f t="shared" si="0"/>
        <v>62233.138166662342</v>
      </c>
      <c r="P35" s="102"/>
      <c r="Q35" s="103"/>
      <c r="R35" s="104"/>
      <c r="S35" s="108"/>
      <c r="T35" s="108"/>
      <c r="U35" s="104"/>
      <c r="V35" s="104"/>
      <c r="W35" s="104"/>
    </row>
    <row r="36" spans="1:23" x14ac:dyDescent="0.2">
      <c r="A36" s="3" t="s">
        <v>8</v>
      </c>
      <c r="B36" s="71">
        <f>B34-B35</f>
        <v>114432.56</v>
      </c>
      <c r="C36" s="13">
        <f>C34-C35</f>
        <v>118974.33399999999</v>
      </c>
      <c r="D36" s="13">
        <f>+D34-D35</f>
        <v>123688.48594999997</v>
      </c>
      <c r="E36" s="13">
        <f>+E34-E35</f>
        <v>128581.38447474997</v>
      </c>
      <c r="F36" s="13">
        <f>+F34-F35</f>
        <v>133659.62948577869</v>
      </c>
      <c r="G36" s="13">
        <f>+G34-G35</f>
        <v>138930.06048605376</v>
      </c>
      <c r="H36" s="13">
        <f>+H34-H35</f>
        <v>144399.76517054526</v>
      </c>
      <c r="P36" s="102"/>
      <c r="Q36" s="103"/>
      <c r="R36" s="104"/>
      <c r="S36" s="104"/>
      <c r="T36" s="104"/>
      <c r="U36" s="104"/>
      <c r="V36" s="104"/>
      <c r="W36" s="104"/>
    </row>
    <row r="37" spans="1:23" x14ac:dyDescent="0.2">
      <c r="A37" s="3" t="s">
        <v>66</v>
      </c>
      <c r="B37" s="13">
        <v>0</v>
      </c>
      <c r="C37" s="13"/>
      <c r="D37" s="13">
        <v>0</v>
      </c>
      <c r="E37" s="13">
        <v>0</v>
      </c>
      <c r="F37" s="13">
        <v>0</v>
      </c>
      <c r="G37" s="13">
        <v>0</v>
      </c>
      <c r="H37" s="13">
        <v>0</v>
      </c>
      <c r="P37" s="102"/>
      <c r="Q37" s="104"/>
      <c r="R37" s="104"/>
      <c r="S37" s="104"/>
      <c r="T37" s="104"/>
      <c r="U37" s="104"/>
      <c r="V37" s="104"/>
      <c r="W37" s="103"/>
    </row>
    <row r="38" spans="1:23" x14ac:dyDescent="0.2">
      <c r="A38" s="3" t="s">
        <v>9</v>
      </c>
      <c r="B38" s="13"/>
      <c r="C38" s="14">
        <f>$C$72*12</f>
        <v>-109032.03702506973</v>
      </c>
      <c r="D38" s="14">
        <f>$C$72*12</f>
        <v>-109032.03702506973</v>
      </c>
      <c r="E38" s="14">
        <f>$C$72*12</f>
        <v>-109032.03702506973</v>
      </c>
      <c r="F38" s="14">
        <f>$C$72*12</f>
        <v>-109032.03702506973</v>
      </c>
      <c r="G38" s="14">
        <f>$C$72*12</f>
        <v>-109032.03702506973</v>
      </c>
      <c r="H38" s="14"/>
      <c r="P38" s="102"/>
      <c r="Q38" s="104"/>
      <c r="R38" s="103"/>
      <c r="S38" s="103"/>
      <c r="T38" s="103"/>
      <c r="U38" s="103"/>
      <c r="V38" s="103"/>
      <c r="W38" s="103"/>
    </row>
    <row r="39" spans="1:23" x14ac:dyDescent="0.2">
      <c r="A39" s="6" t="s">
        <v>10</v>
      </c>
      <c r="B39" s="14">
        <f>B36-B37+B38</f>
        <v>114432.56</v>
      </c>
      <c r="C39" s="14">
        <f t="shared" ref="C39:H39" si="1">+C36-C37+C38</f>
        <v>9942.2969749302574</v>
      </c>
      <c r="D39" s="14">
        <f t="shared" si="1"/>
        <v>14656.448924930242</v>
      </c>
      <c r="E39" s="14">
        <f t="shared" si="1"/>
        <v>19549.347449680237</v>
      </c>
      <c r="F39" s="14">
        <f t="shared" si="1"/>
        <v>24627.592460708955</v>
      </c>
      <c r="G39" s="14">
        <f t="shared" si="1"/>
        <v>29898.023460984026</v>
      </c>
      <c r="H39" s="14">
        <f t="shared" si="1"/>
        <v>144399.76517054526</v>
      </c>
      <c r="P39" s="102"/>
      <c r="Q39" s="106"/>
      <c r="R39" s="104"/>
      <c r="S39" s="104"/>
      <c r="T39" s="104"/>
      <c r="U39" s="104"/>
      <c r="V39" s="104"/>
      <c r="W39" s="104"/>
    </row>
    <row r="40" spans="1:23" x14ac:dyDescent="0.2">
      <c r="P40" s="102"/>
      <c r="Q40" s="107"/>
      <c r="R40" s="106"/>
      <c r="S40" s="104"/>
      <c r="T40" s="104"/>
      <c r="U40" s="104"/>
      <c r="V40" s="104"/>
      <c r="W40" s="104"/>
    </row>
    <row r="41" spans="1:23" x14ac:dyDescent="0.2">
      <c r="P41" s="102"/>
      <c r="Q41" s="108"/>
      <c r="R41" s="104"/>
      <c r="S41" s="104"/>
      <c r="T41" s="104"/>
      <c r="U41" s="104"/>
      <c r="V41" s="104"/>
      <c r="W41" s="106"/>
    </row>
    <row r="42" spans="1:23" x14ac:dyDescent="0.2">
      <c r="D42" s="1"/>
    </row>
    <row r="44" spans="1:23" x14ac:dyDescent="0.2">
      <c r="A44" s="130" t="s">
        <v>33</v>
      </c>
      <c r="B44" s="130"/>
      <c r="C44" s="130"/>
      <c r="D44" s="130"/>
      <c r="E44" s="130"/>
      <c r="F44" s="130"/>
      <c r="G44" s="130"/>
      <c r="Q44" s="2"/>
    </row>
    <row r="45" spans="1:23" x14ac:dyDescent="0.2">
      <c r="A45" s="17"/>
      <c r="B45" s="20" t="s">
        <v>5</v>
      </c>
      <c r="C45" s="15" t="s">
        <v>0</v>
      </c>
      <c r="D45" s="15" t="s">
        <v>1</v>
      </c>
      <c r="E45" s="15" t="s">
        <v>2</v>
      </c>
      <c r="F45" s="15" t="s">
        <v>3</v>
      </c>
      <c r="G45" s="15" t="s">
        <v>4</v>
      </c>
      <c r="Q45" s="2"/>
    </row>
    <row r="46" spans="1:23" x14ac:dyDescent="0.2">
      <c r="A46" s="94" t="s">
        <v>70</v>
      </c>
      <c r="B46" s="93">
        <f>-B8-B10</f>
        <v>-2738700</v>
      </c>
      <c r="C46" s="92"/>
      <c r="D46" s="92"/>
      <c r="E46" s="92"/>
      <c r="F46" s="92"/>
      <c r="G46" s="58"/>
    </row>
    <row r="47" spans="1:23" x14ac:dyDescent="0.2">
      <c r="A47" s="13" t="s">
        <v>10</v>
      </c>
      <c r="B47" s="13"/>
      <c r="C47" s="13">
        <f>C36-C37</f>
        <v>118974.33399999999</v>
      </c>
      <c r="D47" s="13">
        <f>D39-D38</f>
        <v>123688.48594999997</v>
      </c>
      <c r="E47" s="13">
        <f>E39-E38</f>
        <v>128581.38447474997</v>
      </c>
      <c r="F47" s="13">
        <f>F39-F38</f>
        <v>133659.62948577869</v>
      </c>
      <c r="G47" s="13">
        <f>G39-G38</f>
        <v>138930.06048605376</v>
      </c>
      <c r="Q47" s="84"/>
    </row>
    <row r="48" spans="1:23" x14ac:dyDescent="0.2">
      <c r="A48" s="14" t="s">
        <v>27</v>
      </c>
      <c r="B48" s="14"/>
      <c r="C48" s="14"/>
      <c r="D48" s="14"/>
      <c r="E48" s="14"/>
      <c r="F48" s="8"/>
      <c r="G48" s="8">
        <f>(H36/$B$21)*(1-B22)</f>
        <v>3128446.4656351637</v>
      </c>
      <c r="Q48" s="84"/>
    </row>
    <row r="49" spans="1:8" x14ac:dyDescent="0.2">
      <c r="A49" s="14"/>
      <c r="B49" s="14">
        <f t="shared" ref="B49:F49" si="2">SUM(B46:B48)</f>
        <v>-2738700</v>
      </c>
      <c r="C49" s="14">
        <f t="shared" si="2"/>
        <v>118974.33399999999</v>
      </c>
      <c r="D49" s="14">
        <f t="shared" si="2"/>
        <v>123688.48594999997</v>
      </c>
      <c r="E49" s="14">
        <f t="shared" si="2"/>
        <v>128581.38447474997</v>
      </c>
      <c r="F49" s="14">
        <f t="shared" si="2"/>
        <v>133659.62948577869</v>
      </c>
      <c r="G49" s="14">
        <f>SUM(G46:G48)</f>
        <v>3267376.5261212173</v>
      </c>
    </row>
    <row r="52" spans="1:8" x14ac:dyDescent="0.2">
      <c r="A52" s="18" t="s">
        <v>30</v>
      </c>
      <c r="B52" s="19">
        <f>IRR(B49:G49)</f>
        <v>7.1442256403431603E-2</v>
      </c>
    </row>
    <row r="53" spans="1:8" x14ac:dyDescent="0.2">
      <c r="A53" s="18" t="s">
        <v>31</v>
      </c>
      <c r="B53" s="120">
        <f>NPV(B23,C49:G49)+B49</f>
        <v>211475.04753834242</v>
      </c>
    </row>
    <row r="57" spans="1:8" x14ac:dyDescent="0.2">
      <c r="A57" s="130" t="s">
        <v>32</v>
      </c>
      <c r="B57" s="130"/>
      <c r="C57" s="130"/>
      <c r="D57" s="130"/>
      <c r="E57" s="130"/>
      <c r="F57" s="130"/>
      <c r="G57" s="130"/>
      <c r="H57" t="s">
        <v>84</v>
      </c>
    </row>
    <row r="58" spans="1:8" x14ac:dyDescent="0.2">
      <c r="A58" s="17"/>
      <c r="B58" s="20" t="s">
        <v>5</v>
      </c>
      <c r="C58" s="15" t="s">
        <v>0</v>
      </c>
      <c r="D58" s="15" t="s">
        <v>1</v>
      </c>
      <c r="E58" s="15" t="s">
        <v>2</v>
      </c>
      <c r="F58" s="15" t="s">
        <v>3</v>
      </c>
      <c r="G58" s="15" t="s">
        <v>4</v>
      </c>
    </row>
    <row r="59" spans="1:8" x14ac:dyDescent="0.2">
      <c r="A59" t="s">
        <v>70</v>
      </c>
      <c r="B59" s="71">
        <f>-B8-B10</f>
        <v>-2738700</v>
      </c>
      <c r="C59" s="13"/>
      <c r="D59" s="13"/>
      <c r="E59" s="13"/>
      <c r="F59" s="13"/>
      <c r="G59" s="13"/>
    </row>
    <row r="60" spans="1:8" x14ac:dyDescent="0.2">
      <c r="A60" s="69" t="s">
        <v>10</v>
      </c>
      <c r="B60" s="13">
        <f>B12</f>
        <v>1745250</v>
      </c>
      <c r="C60" s="13" cm="1">
        <f t="array" ref="C60:G60">C39:G39</f>
        <v>9942.2969749302574</v>
      </c>
      <c r="D60" s="13">
        <v>14656.448924930242</v>
      </c>
      <c r="E60" s="13">
        <v>19549.347449680237</v>
      </c>
      <c r="F60" s="4">
        <v>24627.592460708955</v>
      </c>
      <c r="G60" s="4">
        <v>29898.023460984026</v>
      </c>
    </row>
    <row r="61" spans="1:8" x14ac:dyDescent="0.2">
      <c r="A61" s="70" t="s">
        <v>27</v>
      </c>
      <c r="B61" s="14"/>
      <c r="C61" s="14"/>
      <c r="D61" s="14"/>
      <c r="E61" s="14"/>
      <c r="F61" s="8"/>
      <c r="G61" s="8">
        <f>((H36/B21)*(1-B22))-F131</f>
        <v>1611795.4758009759</v>
      </c>
    </row>
    <row r="62" spans="1:8" x14ac:dyDescent="0.2">
      <c r="A62" s="14"/>
      <c r="B62" s="14">
        <f>SUM(B59:B61)</f>
        <v>-993450</v>
      </c>
      <c r="C62" s="14">
        <f t="shared" ref="C62" si="3">SUM(C59:C61)</f>
        <v>9942.2969749302574</v>
      </c>
      <c r="D62" s="14">
        <f t="shared" ref="D62" si="4">SUM(D59:D61)</f>
        <v>14656.448924930242</v>
      </c>
      <c r="E62" s="14">
        <f t="shared" ref="E62" si="5">SUM(E59:E61)</f>
        <v>19549.347449680237</v>
      </c>
      <c r="F62" s="14">
        <f t="shared" ref="F62" si="6">SUM(F59:F61)</f>
        <v>24627.592460708955</v>
      </c>
      <c r="G62" s="14">
        <f>SUM(G59:G61)</f>
        <v>1641693.4992619599</v>
      </c>
    </row>
    <row r="65" spans="1:6" x14ac:dyDescent="0.2">
      <c r="A65" s="18" t="s">
        <v>28</v>
      </c>
      <c r="B65" s="19">
        <f>IRR(B62:G62)</f>
        <v>0.11726757700382029</v>
      </c>
    </row>
    <row r="66" spans="1:6" x14ac:dyDescent="0.2">
      <c r="A66" s="18" t="s">
        <v>29</v>
      </c>
      <c r="B66" s="40">
        <f>NPV(B24,C62:G62)+B62</f>
        <v>165007.82179009146</v>
      </c>
    </row>
    <row r="70" spans="1:6" x14ac:dyDescent="0.2">
      <c r="A70" s="127" t="s">
        <v>44</v>
      </c>
      <c r="B70" s="128"/>
      <c r="C70" s="128"/>
      <c r="D70" s="128"/>
      <c r="E70" s="128"/>
      <c r="F70" s="129"/>
    </row>
    <row r="71" spans="1:6" x14ac:dyDescent="0.2">
      <c r="A71" s="15" t="s">
        <v>14</v>
      </c>
      <c r="B71" s="9" t="s">
        <v>15</v>
      </c>
      <c r="C71" s="15" t="s">
        <v>14</v>
      </c>
      <c r="D71" s="15" t="s">
        <v>16</v>
      </c>
      <c r="E71" s="15" t="s">
        <v>17</v>
      </c>
      <c r="F71" s="10" t="s">
        <v>18</v>
      </c>
    </row>
    <row r="72" spans="1:6" x14ac:dyDescent="0.2">
      <c r="A72" s="26">
        <v>1</v>
      </c>
      <c r="B72" s="22">
        <f>+B12</f>
        <v>1745250</v>
      </c>
      <c r="C72" s="28">
        <f>PMT($B$14,$B$15*12,B72,0)</f>
        <v>-9086.0030854224769</v>
      </c>
      <c r="D72" s="28">
        <f t="shared" ref="D72:D135" si="7">+B72*$B$14</f>
        <v>5626.5187038478216</v>
      </c>
      <c r="E72" s="28">
        <f t="shared" ref="E72:E135" si="8">+C72+D72</f>
        <v>-3459.4843815746553</v>
      </c>
      <c r="F72" s="23">
        <f t="shared" ref="F72:F135" si="9">+B72+E72</f>
        <v>1741790.5156184253</v>
      </c>
    </row>
    <row r="73" spans="1:6" x14ac:dyDescent="0.2">
      <c r="A73" s="26">
        <f t="shared" ref="A73:A136" si="10">1+A72</f>
        <v>2</v>
      </c>
      <c r="B73" s="22">
        <f t="shared" ref="B73:B136" si="11">F72</f>
        <v>1741790.5156184253</v>
      </c>
      <c r="C73" s="28">
        <f t="shared" ref="C73:C136" si="12">C72</f>
        <v>-9086.0030854224769</v>
      </c>
      <c r="D73" s="28">
        <f t="shared" si="7"/>
        <v>5615.3656578208347</v>
      </c>
      <c r="E73" s="28">
        <f t="shared" si="8"/>
        <v>-3470.6374276016422</v>
      </c>
      <c r="F73" s="23">
        <f t="shared" si="9"/>
        <v>1738319.8781908236</v>
      </c>
    </row>
    <row r="74" spans="1:6" x14ac:dyDescent="0.2">
      <c r="A74" s="26">
        <f t="shared" si="10"/>
        <v>3</v>
      </c>
      <c r="B74" s="22">
        <f t="shared" si="11"/>
        <v>1738319.8781908236</v>
      </c>
      <c r="C74" s="28">
        <f t="shared" si="12"/>
        <v>-9086.0030854224769</v>
      </c>
      <c r="D74" s="28">
        <f t="shared" si="7"/>
        <v>5604.1766554425649</v>
      </c>
      <c r="E74" s="28">
        <f t="shared" si="8"/>
        <v>-3481.8264299799121</v>
      </c>
      <c r="F74" s="23">
        <f t="shared" si="9"/>
        <v>1734838.0517608437</v>
      </c>
    </row>
    <row r="75" spans="1:6" x14ac:dyDescent="0.2">
      <c r="A75" s="26">
        <f t="shared" si="10"/>
        <v>4</v>
      </c>
      <c r="B75" s="22">
        <f t="shared" si="11"/>
        <v>1734838.0517608437</v>
      </c>
      <c r="C75" s="28">
        <f t="shared" si="12"/>
        <v>-9086.0030854224769</v>
      </c>
      <c r="D75" s="28">
        <f t="shared" si="7"/>
        <v>5592.951580793183</v>
      </c>
      <c r="E75" s="28">
        <f t="shared" si="8"/>
        <v>-3493.051504629294</v>
      </c>
      <c r="F75" s="23">
        <f t="shared" si="9"/>
        <v>1731345.0002562145</v>
      </c>
    </row>
    <row r="76" spans="1:6" x14ac:dyDescent="0.2">
      <c r="A76" s="26">
        <f t="shared" si="10"/>
        <v>5</v>
      </c>
      <c r="B76" s="22">
        <f t="shared" si="11"/>
        <v>1731345.0002562145</v>
      </c>
      <c r="C76" s="28">
        <f t="shared" si="12"/>
        <v>-9086.0030854224769</v>
      </c>
      <c r="D76" s="28">
        <f t="shared" si="7"/>
        <v>5581.6903175791449</v>
      </c>
      <c r="E76" s="28">
        <f t="shared" si="8"/>
        <v>-3504.312767843332</v>
      </c>
      <c r="F76" s="23">
        <f t="shared" si="9"/>
        <v>1727840.6874883713</v>
      </c>
    </row>
    <row r="77" spans="1:6" x14ac:dyDescent="0.2">
      <c r="A77" s="26">
        <f t="shared" si="10"/>
        <v>6</v>
      </c>
      <c r="B77" s="22">
        <f t="shared" si="11"/>
        <v>1727840.6874883713</v>
      </c>
      <c r="C77" s="28">
        <f t="shared" si="12"/>
        <v>-9086.0030854224769</v>
      </c>
      <c r="D77" s="28">
        <f t="shared" si="7"/>
        <v>5570.3927491319873</v>
      </c>
      <c r="E77" s="28">
        <f t="shared" si="8"/>
        <v>-3515.6103362904896</v>
      </c>
      <c r="F77" s="23">
        <f t="shared" si="9"/>
        <v>1724325.0771520808</v>
      </c>
    </row>
    <row r="78" spans="1:6" x14ac:dyDescent="0.2">
      <c r="A78" s="26">
        <f t="shared" si="10"/>
        <v>7</v>
      </c>
      <c r="B78" s="22">
        <f t="shared" si="11"/>
        <v>1724325.0771520808</v>
      </c>
      <c r="C78" s="28">
        <f t="shared" si="12"/>
        <v>-9086.0030854224769</v>
      </c>
      <c r="D78" s="28">
        <f t="shared" si="7"/>
        <v>5559.0587584071172</v>
      </c>
      <c r="E78" s="28">
        <f t="shared" si="8"/>
        <v>-3526.9443270153597</v>
      </c>
      <c r="F78" s="23">
        <f t="shared" si="9"/>
        <v>1720798.1328250654</v>
      </c>
    </row>
    <row r="79" spans="1:6" x14ac:dyDescent="0.2">
      <c r="A79" s="26">
        <f t="shared" si="10"/>
        <v>8</v>
      </c>
      <c r="B79" s="22">
        <f t="shared" si="11"/>
        <v>1720798.1328250654</v>
      </c>
      <c r="C79" s="28">
        <f t="shared" si="12"/>
        <v>-9086.0030854224769</v>
      </c>
      <c r="D79" s="28">
        <f t="shared" si="7"/>
        <v>5547.6882279826041</v>
      </c>
      <c r="E79" s="28">
        <f t="shared" si="8"/>
        <v>-3538.3148574398729</v>
      </c>
      <c r="F79" s="23">
        <f t="shared" si="9"/>
        <v>1717259.8179676256</v>
      </c>
    </row>
    <row r="80" spans="1:6" x14ac:dyDescent="0.2">
      <c r="A80" s="26">
        <f t="shared" si="10"/>
        <v>9</v>
      </c>
      <c r="B80" s="22">
        <f t="shared" si="11"/>
        <v>1717259.8179676256</v>
      </c>
      <c r="C80" s="28">
        <f t="shared" si="12"/>
        <v>-9086.0030854224769</v>
      </c>
      <c r="D80" s="28">
        <f t="shared" si="7"/>
        <v>5536.2810400579583</v>
      </c>
      <c r="E80" s="28">
        <f t="shared" si="8"/>
        <v>-3549.7220453645186</v>
      </c>
      <c r="F80" s="23">
        <f t="shared" si="9"/>
        <v>1713710.095922261</v>
      </c>
    </row>
    <row r="81" spans="1:6" x14ac:dyDescent="0.2">
      <c r="A81" s="26">
        <f t="shared" si="10"/>
        <v>10</v>
      </c>
      <c r="B81" s="22">
        <f t="shared" si="11"/>
        <v>1713710.095922261</v>
      </c>
      <c r="C81" s="28">
        <f t="shared" si="12"/>
        <v>-9086.0030854224769</v>
      </c>
      <c r="D81" s="28">
        <f t="shared" si="7"/>
        <v>5524.8370764529127</v>
      </c>
      <c r="E81" s="28">
        <f t="shared" si="8"/>
        <v>-3561.1660089695642</v>
      </c>
      <c r="F81" s="23">
        <f t="shared" si="9"/>
        <v>1710148.9299132915</v>
      </c>
    </row>
    <row r="82" spans="1:6" x14ac:dyDescent="0.2">
      <c r="A82" s="26">
        <f t="shared" si="10"/>
        <v>11</v>
      </c>
      <c r="B82" s="22">
        <f t="shared" si="11"/>
        <v>1710148.9299132915</v>
      </c>
      <c r="C82" s="28">
        <f t="shared" si="12"/>
        <v>-9086.0030854224769</v>
      </c>
      <c r="D82" s="28">
        <f t="shared" si="7"/>
        <v>5513.3562186062009</v>
      </c>
      <c r="E82" s="28">
        <f t="shared" si="8"/>
        <v>-3572.6468668162761</v>
      </c>
      <c r="F82" s="23">
        <f t="shared" si="9"/>
        <v>1706576.2830464751</v>
      </c>
    </row>
    <row r="83" spans="1:6" x14ac:dyDescent="0.2">
      <c r="A83" s="26">
        <f t="shared" si="10"/>
        <v>12</v>
      </c>
      <c r="B83" s="22">
        <f t="shared" si="11"/>
        <v>1706576.2830464751</v>
      </c>
      <c r="C83" s="28">
        <f t="shared" si="12"/>
        <v>-9086.0030854224769</v>
      </c>
      <c r="D83" s="28">
        <f t="shared" si="7"/>
        <v>5501.8383475743231</v>
      </c>
      <c r="E83" s="28">
        <f t="shared" si="8"/>
        <v>-3584.1647378481539</v>
      </c>
      <c r="F83" s="23">
        <f t="shared" si="9"/>
        <v>1702992.118308627</v>
      </c>
    </row>
    <row r="84" spans="1:6" x14ac:dyDescent="0.2">
      <c r="A84" s="26">
        <f t="shared" si="10"/>
        <v>13</v>
      </c>
      <c r="B84" s="22">
        <f t="shared" si="11"/>
        <v>1702992.118308627</v>
      </c>
      <c r="C84" s="28">
        <f t="shared" si="12"/>
        <v>-9086.0030854224769</v>
      </c>
      <c r="D84" s="28">
        <f t="shared" si="7"/>
        <v>5490.2833440303184</v>
      </c>
      <c r="E84" s="28">
        <f t="shared" si="8"/>
        <v>-3595.7197413921585</v>
      </c>
      <c r="F84" s="23">
        <f t="shared" si="9"/>
        <v>1699396.3985672349</v>
      </c>
    </row>
    <row r="85" spans="1:6" x14ac:dyDescent="0.2">
      <c r="A85" s="26">
        <f t="shared" si="10"/>
        <v>14</v>
      </c>
      <c r="B85" s="22">
        <f t="shared" si="11"/>
        <v>1699396.3985672349</v>
      </c>
      <c r="C85" s="28">
        <f t="shared" si="12"/>
        <v>-9086.0030854224769</v>
      </c>
      <c r="D85" s="28">
        <f t="shared" si="7"/>
        <v>5478.691088262527</v>
      </c>
      <c r="E85" s="28">
        <f t="shared" si="8"/>
        <v>-3607.3119971599499</v>
      </c>
      <c r="F85" s="23">
        <f t="shared" si="9"/>
        <v>1695789.086570075</v>
      </c>
    </row>
    <row r="86" spans="1:6" x14ac:dyDescent="0.2">
      <c r="A86" s="26">
        <f t="shared" si="10"/>
        <v>15</v>
      </c>
      <c r="B86" s="22">
        <f t="shared" si="11"/>
        <v>1695789.086570075</v>
      </c>
      <c r="C86" s="28">
        <f t="shared" si="12"/>
        <v>-9086.0030854224769</v>
      </c>
      <c r="D86" s="28">
        <f t="shared" si="7"/>
        <v>5467.0614601733505</v>
      </c>
      <c r="E86" s="28">
        <f t="shared" si="8"/>
        <v>-3618.9416252491264</v>
      </c>
      <c r="F86" s="23">
        <f t="shared" si="9"/>
        <v>1692170.1449448259</v>
      </c>
    </row>
    <row r="87" spans="1:6" x14ac:dyDescent="0.2">
      <c r="A87" s="26">
        <f t="shared" si="10"/>
        <v>16</v>
      </c>
      <c r="B87" s="22">
        <f t="shared" si="11"/>
        <v>1692170.1449448259</v>
      </c>
      <c r="C87" s="28">
        <f t="shared" si="12"/>
        <v>-9086.0030854224769</v>
      </c>
      <c r="D87" s="28">
        <f t="shared" si="7"/>
        <v>5455.3943392780075</v>
      </c>
      <c r="E87" s="28">
        <f t="shared" si="8"/>
        <v>-3630.6087461444695</v>
      </c>
      <c r="F87" s="23">
        <f t="shared" si="9"/>
        <v>1688539.5361986815</v>
      </c>
    </row>
    <row r="88" spans="1:6" x14ac:dyDescent="0.2">
      <c r="A88" s="26">
        <f t="shared" si="10"/>
        <v>17</v>
      </c>
      <c r="B88" s="22">
        <f t="shared" si="11"/>
        <v>1688539.5361986815</v>
      </c>
      <c r="C88" s="28">
        <f t="shared" si="12"/>
        <v>-9086.0030854224769</v>
      </c>
      <c r="D88" s="28">
        <f t="shared" si="7"/>
        <v>5443.6896047032842</v>
      </c>
      <c r="E88" s="28">
        <f t="shared" si="8"/>
        <v>-3642.3134807191927</v>
      </c>
      <c r="F88" s="23">
        <f t="shared" si="9"/>
        <v>1684897.2227179622</v>
      </c>
    </row>
    <row r="89" spans="1:6" x14ac:dyDescent="0.2">
      <c r="A89" s="26">
        <f t="shared" si="10"/>
        <v>18</v>
      </c>
      <c r="B89" s="22">
        <f t="shared" si="11"/>
        <v>1684897.2227179622</v>
      </c>
      <c r="C89" s="28">
        <f t="shared" si="12"/>
        <v>-9086.0030854224769</v>
      </c>
      <c r="D89" s="28">
        <f t="shared" si="7"/>
        <v>5431.9471351862849</v>
      </c>
      <c r="E89" s="28">
        <f t="shared" si="8"/>
        <v>-3654.0559502361921</v>
      </c>
      <c r="F89" s="23">
        <f t="shared" si="9"/>
        <v>1681243.166767726</v>
      </c>
    </row>
    <row r="90" spans="1:6" x14ac:dyDescent="0.2">
      <c r="A90" s="26">
        <f t="shared" si="10"/>
        <v>19</v>
      </c>
      <c r="B90" s="22">
        <f t="shared" si="11"/>
        <v>1681243.166767726</v>
      </c>
      <c r="C90" s="28">
        <f t="shared" si="12"/>
        <v>-9086.0030854224769</v>
      </c>
      <c r="D90" s="28">
        <f t="shared" si="7"/>
        <v>5420.1668090731719</v>
      </c>
      <c r="E90" s="28">
        <f t="shared" si="8"/>
        <v>-3665.8362763493051</v>
      </c>
      <c r="F90" s="23">
        <f t="shared" si="9"/>
        <v>1677577.3304913766</v>
      </c>
    </row>
    <row r="91" spans="1:6" x14ac:dyDescent="0.2">
      <c r="A91" s="26">
        <f t="shared" si="10"/>
        <v>20</v>
      </c>
      <c r="B91" s="22">
        <f t="shared" si="11"/>
        <v>1677577.3304913766</v>
      </c>
      <c r="C91" s="28">
        <f t="shared" si="12"/>
        <v>-9086.0030854224769</v>
      </c>
      <c r="D91" s="28">
        <f t="shared" si="7"/>
        <v>5408.348504317908</v>
      </c>
      <c r="E91" s="28">
        <f t="shared" si="8"/>
        <v>-3677.6545811045689</v>
      </c>
      <c r="F91" s="23">
        <f t="shared" si="9"/>
        <v>1673899.6759102719</v>
      </c>
    </row>
    <row r="92" spans="1:6" x14ac:dyDescent="0.2">
      <c r="A92" s="26">
        <f t="shared" si="10"/>
        <v>21</v>
      </c>
      <c r="B92" s="22">
        <f t="shared" si="11"/>
        <v>1673899.6759102719</v>
      </c>
      <c r="C92" s="28">
        <f t="shared" si="12"/>
        <v>-9086.0030854224769</v>
      </c>
      <c r="D92" s="28">
        <f t="shared" si="7"/>
        <v>5396.4920984809924</v>
      </c>
      <c r="E92" s="28">
        <f t="shared" si="8"/>
        <v>-3689.5109869414846</v>
      </c>
      <c r="F92" s="23">
        <f t="shared" si="9"/>
        <v>1670210.1649233305</v>
      </c>
    </row>
    <row r="93" spans="1:6" x14ac:dyDescent="0.2">
      <c r="A93" s="26">
        <f t="shared" si="10"/>
        <v>22</v>
      </c>
      <c r="B93" s="22">
        <f t="shared" si="11"/>
        <v>1670210.1649233305</v>
      </c>
      <c r="C93" s="28">
        <f t="shared" si="12"/>
        <v>-9086.0030854224769</v>
      </c>
      <c r="D93" s="28">
        <f t="shared" si="7"/>
        <v>5384.5974687281905</v>
      </c>
      <c r="E93" s="28">
        <f t="shared" si="8"/>
        <v>-3701.4056166942864</v>
      </c>
      <c r="F93" s="23">
        <f t="shared" si="9"/>
        <v>1666508.7593066362</v>
      </c>
    </row>
    <row r="94" spans="1:6" x14ac:dyDescent="0.2">
      <c r="A94" s="26">
        <f t="shared" si="10"/>
        <v>23</v>
      </c>
      <c r="B94" s="22">
        <f t="shared" si="11"/>
        <v>1666508.7593066362</v>
      </c>
      <c r="C94" s="28">
        <f t="shared" si="12"/>
        <v>-9086.0030854224769</v>
      </c>
      <c r="D94" s="28">
        <f t="shared" si="7"/>
        <v>5372.6644918292604</v>
      </c>
      <c r="E94" s="28">
        <f t="shared" si="8"/>
        <v>-3713.3385935932165</v>
      </c>
      <c r="F94" s="23">
        <f t="shared" si="9"/>
        <v>1662795.4207130428</v>
      </c>
    </row>
    <row r="95" spans="1:6" x14ac:dyDescent="0.2">
      <c r="A95" s="26">
        <f t="shared" si="10"/>
        <v>24</v>
      </c>
      <c r="B95" s="22">
        <f t="shared" si="11"/>
        <v>1662795.4207130428</v>
      </c>
      <c r="C95" s="28">
        <f t="shared" si="12"/>
        <v>-9086.0030854224769</v>
      </c>
      <c r="D95" s="28">
        <f t="shared" si="7"/>
        <v>5360.6930441566783</v>
      </c>
      <c r="E95" s="28">
        <f t="shared" si="8"/>
        <v>-3725.3100412657986</v>
      </c>
      <c r="F95" s="23">
        <f t="shared" si="9"/>
        <v>1659070.110671777</v>
      </c>
    </row>
    <row r="96" spans="1:6" x14ac:dyDescent="0.2">
      <c r="A96" s="26">
        <f t="shared" si="10"/>
        <v>25</v>
      </c>
      <c r="B96" s="22">
        <f t="shared" si="11"/>
        <v>1659070.110671777</v>
      </c>
      <c r="C96" s="28">
        <f t="shared" si="12"/>
        <v>-9086.0030854224769</v>
      </c>
      <c r="D96" s="28">
        <f t="shared" si="7"/>
        <v>5348.6830016843596</v>
      </c>
      <c r="E96" s="28">
        <f t="shared" si="8"/>
        <v>-3737.3200837381173</v>
      </c>
      <c r="F96" s="23">
        <f t="shared" si="9"/>
        <v>1655332.790588039</v>
      </c>
    </row>
    <row r="97" spans="1:6" x14ac:dyDescent="0.2">
      <c r="A97" s="26">
        <f t="shared" si="10"/>
        <v>26</v>
      </c>
      <c r="B97" s="22">
        <f t="shared" si="11"/>
        <v>1655332.790588039</v>
      </c>
      <c r="C97" s="28">
        <f t="shared" si="12"/>
        <v>-9086.0030854224769</v>
      </c>
      <c r="D97" s="28">
        <f t="shared" si="7"/>
        <v>5336.6342399863697</v>
      </c>
      <c r="E97" s="28">
        <f t="shared" si="8"/>
        <v>-3749.3688454361072</v>
      </c>
      <c r="F97" s="23">
        <f t="shared" si="9"/>
        <v>1651583.4217426029</v>
      </c>
    </row>
    <row r="98" spans="1:6" x14ac:dyDescent="0.2">
      <c r="A98" s="26">
        <f t="shared" si="10"/>
        <v>27</v>
      </c>
      <c r="B98" s="22">
        <f t="shared" si="11"/>
        <v>1651583.4217426029</v>
      </c>
      <c r="C98" s="28">
        <f t="shared" si="12"/>
        <v>-9086.0030854224769</v>
      </c>
      <c r="D98" s="28">
        <f t="shared" si="7"/>
        <v>5324.546634235634</v>
      </c>
      <c r="E98" s="28">
        <f t="shared" si="8"/>
        <v>-3761.456451186843</v>
      </c>
      <c r="F98" s="23">
        <f t="shared" si="9"/>
        <v>1647821.965291416</v>
      </c>
    </row>
    <row r="99" spans="1:6" x14ac:dyDescent="0.2">
      <c r="A99" s="26">
        <f t="shared" si="10"/>
        <v>28</v>
      </c>
      <c r="B99" s="22">
        <f t="shared" si="11"/>
        <v>1647821.965291416</v>
      </c>
      <c r="C99" s="28">
        <f t="shared" si="12"/>
        <v>-9086.0030854224769</v>
      </c>
      <c r="D99" s="28">
        <f t="shared" si="7"/>
        <v>5312.4200592026518</v>
      </c>
      <c r="E99" s="28">
        <f t="shared" si="8"/>
        <v>-3773.5830262198251</v>
      </c>
      <c r="F99" s="23">
        <f t="shared" si="9"/>
        <v>1644048.3822651962</v>
      </c>
    </row>
    <row r="100" spans="1:6" x14ac:dyDescent="0.2">
      <c r="A100" s="26">
        <f t="shared" si="10"/>
        <v>29</v>
      </c>
      <c r="B100" s="22">
        <f t="shared" si="11"/>
        <v>1644048.3822651962</v>
      </c>
      <c r="C100" s="28">
        <f t="shared" si="12"/>
        <v>-9086.0030854224769</v>
      </c>
      <c r="D100" s="28">
        <f t="shared" si="7"/>
        <v>5300.2543892541926</v>
      </c>
      <c r="E100" s="28">
        <f t="shared" si="8"/>
        <v>-3785.7486961682844</v>
      </c>
      <c r="F100" s="23">
        <f t="shared" si="9"/>
        <v>1640262.633569028</v>
      </c>
    </row>
    <row r="101" spans="1:6" x14ac:dyDescent="0.2">
      <c r="A101" s="26">
        <f t="shared" si="10"/>
        <v>30</v>
      </c>
      <c r="B101" s="22">
        <f t="shared" si="11"/>
        <v>1640262.633569028</v>
      </c>
      <c r="C101" s="28">
        <f t="shared" si="12"/>
        <v>-9086.0030854224769</v>
      </c>
      <c r="D101" s="28">
        <f t="shared" si="7"/>
        <v>5288.0494983519966</v>
      </c>
      <c r="E101" s="28">
        <f t="shared" si="8"/>
        <v>-3797.9535870704804</v>
      </c>
      <c r="F101" s="23">
        <f t="shared" si="9"/>
        <v>1636464.6799819574</v>
      </c>
    </row>
    <row r="102" spans="1:6" x14ac:dyDescent="0.2">
      <c r="A102" s="26">
        <f t="shared" si="10"/>
        <v>31</v>
      </c>
      <c r="B102" s="22">
        <f t="shared" si="11"/>
        <v>1636464.6799819574</v>
      </c>
      <c r="C102" s="28">
        <f t="shared" si="12"/>
        <v>-9086.0030854224769</v>
      </c>
      <c r="D102" s="28">
        <f t="shared" si="7"/>
        <v>5275.8052600514675</v>
      </c>
      <c r="E102" s="28">
        <f t="shared" si="8"/>
        <v>-3810.1978253710095</v>
      </c>
      <c r="F102" s="23">
        <f t="shared" si="9"/>
        <v>1632654.4821565864</v>
      </c>
    </row>
    <row r="103" spans="1:6" x14ac:dyDescent="0.2">
      <c r="A103" s="26">
        <f t="shared" si="10"/>
        <v>32</v>
      </c>
      <c r="B103" s="22">
        <f t="shared" si="11"/>
        <v>1632654.4821565864</v>
      </c>
      <c r="C103" s="28">
        <f t="shared" si="12"/>
        <v>-9086.0030854224769</v>
      </c>
      <c r="D103" s="28">
        <f t="shared" si="7"/>
        <v>5263.5215475003661</v>
      </c>
      <c r="E103" s="28">
        <f t="shared" si="8"/>
        <v>-3822.4815379221109</v>
      </c>
      <c r="F103" s="23">
        <f t="shared" si="9"/>
        <v>1628832.0006186643</v>
      </c>
    </row>
    <row r="104" spans="1:6" x14ac:dyDescent="0.2">
      <c r="A104" s="26">
        <f t="shared" si="10"/>
        <v>33</v>
      </c>
      <c r="B104" s="22">
        <f t="shared" si="11"/>
        <v>1628832.0006186643</v>
      </c>
      <c r="C104" s="28">
        <f t="shared" si="12"/>
        <v>-9086.0030854224769</v>
      </c>
      <c r="D104" s="28">
        <f t="shared" si="7"/>
        <v>5251.1982334374916</v>
      </c>
      <c r="E104" s="28">
        <f t="shared" si="8"/>
        <v>-3834.8048519849854</v>
      </c>
      <c r="F104" s="23">
        <f t="shared" si="9"/>
        <v>1624997.1957666792</v>
      </c>
    </row>
    <row r="105" spans="1:6" x14ac:dyDescent="0.2">
      <c r="A105" s="26">
        <f t="shared" si="10"/>
        <v>34</v>
      </c>
      <c r="B105" s="22">
        <f t="shared" si="11"/>
        <v>1624997.1957666792</v>
      </c>
      <c r="C105" s="28">
        <f t="shared" si="12"/>
        <v>-9086.0030854224769</v>
      </c>
      <c r="D105" s="28">
        <f t="shared" si="7"/>
        <v>5238.8351901913657</v>
      </c>
      <c r="E105" s="28">
        <f t="shared" si="8"/>
        <v>-3847.1678952311113</v>
      </c>
      <c r="F105" s="23">
        <f t="shared" si="9"/>
        <v>1621150.0278714481</v>
      </c>
    </row>
    <row r="106" spans="1:6" x14ac:dyDescent="0.2">
      <c r="A106" s="26">
        <f t="shared" si="10"/>
        <v>35</v>
      </c>
      <c r="B106" s="22">
        <f t="shared" si="11"/>
        <v>1621150.0278714481</v>
      </c>
      <c r="C106" s="28">
        <f t="shared" si="12"/>
        <v>-9086.0030854224769</v>
      </c>
      <c r="D106" s="28">
        <f t="shared" si="7"/>
        <v>5226.4322896789117</v>
      </c>
      <c r="E106" s="28">
        <f t="shared" si="8"/>
        <v>-3859.5707957435652</v>
      </c>
      <c r="F106" s="23">
        <f t="shared" si="9"/>
        <v>1617290.4570757046</v>
      </c>
    </row>
    <row r="107" spans="1:6" x14ac:dyDescent="0.2">
      <c r="A107" s="26">
        <f t="shared" si="10"/>
        <v>36</v>
      </c>
      <c r="B107" s="22">
        <f t="shared" si="11"/>
        <v>1617290.4570757046</v>
      </c>
      <c r="C107" s="28">
        <f t="shared" si="12"/>
        <v>-9086.0030854224769</v>
      </c>
      <c r="D107" s="28">
        <f t="shared" si="7"/>
        <v>5213.9894034041226</v>
      </c>
      <c r="E107" s="28">
        <f t="shared" si="8"/>
        <v>-3872.0136820183543</v>
      </c>
      <c r="F107" s="23">
        <f t="shared" si="9"/>
        <v>1613418.4433936863</v>
      </c>
    </row>
    <row r="108" spans="1:6" x14ac:dyDescent="0.2">
      <c r="A108" s="26">
        <f t="shared" si="10"/>
        <v>37</v>
      </c>
      <c r="B108" s="22">
        <f t="shared" si="11"/>
        <v>1613418.4433936863</v>
      </c>
      <c r="C108" s="28">
        <f t="shared" si="12"/>
        <v>-9086.0030854224769</v>
      </c>
      <c r="D108" s="28">
        <f t="shared" si="7"/>
        <v>5201.5064024567337</v>
      </c>
      <c r="E108" s="28">
        <f t="shared" si="8"/>
        <v>-3884.4966829657433</v>
      </c>
      <c r="F108" s="23">
        <f t="shared" si="9"/>
        <v>1609533.9467107207</v>
      </c>
    </row>
    <row r="109" spans="1:6" x14ac:dyDescent="0.2">
      <c r="A109" s="26">
        <f t="shared" si="10"/>
        <v>38</v>
      </c>
      <c r="B109" s="22">
        <f t="shared" si="11"/>
        <v>1609533.9467107207</v>
      </c>
      <c r="C109" s="28">
        <f t="shared" si="12"/>
        <v>-9086.0030854224769</v>
      </c>
      <c r="D109" s="28">
        <f t="shared" si="7"/>
        <v>5188.9831575108856</v>
      </c>
      <c r="E109" s="28">
        <f t="shared" si="8"/>
        <v>-3897.0199279115914</v>
      </c>
      <c r="F109" s="23">
        <f t="shared" si="9"/>
        <v>1605636.926782809</v>
      </c>
    </row>
    <row r="110" spans="1:6" x14ac:dyDescent="0.2">
      <c r="A110" s="26">
        <f t="shared" si="10"/>
        <v>39</v>
      </c>
      <c r="B110" s="22">
        <f t="shared" si="11"/>
        <v>1605636.926782809</v>
      </c>
      <c r="C110" s="28">
        <f t="shared" si="12"/>
        <v>-9086.0030854224769</v>
      </c>
      <c r="D110" s="28">
        <f t="shared" si="7"/>
        <v>5176.4195388237849</v>
      </c>
      <c r="E110" s="28">
        <f t="shared" si="8"/>
        <v>-3909.583546598692</v>
      </c>
      <c r="F110" s="23">
        <f t="shared" si="9"/>
        <v>1601727.3432362103</v>
      </c>
    </row>
    <row r="111" spans="1:6" x14ac:dyDescent="0.2">
      <c r="A111" s="26">
        <f t="shared" si="10"/>
        <v>40</v>
      </c>
      <c r="B111" s="22">
        <f t="shared" si="11"/>
        <v>1601727.3432362103</v>
      </c>
      <c r="C111" s="28">
        <f t="shared" si="12"/>
        <v>-9086.0030854224769</v>
      </c>
      <c r="D111" s="28">
        <f t="shared" si="7"/>
        <v>5163.8154162343599</v>
      </c>
      <c r="E111" s="28">
        <f t="shared" si="8"/>
        <v>-3922.1876691881171</v>
      </c>
      <c r="F111" s="23">
        <f t="shared" si="9"/>
        <v>1597805.1555670223</v>
      </c>
    </row>
    <row r="112" spans="1:6" x14ac:dyDescent="0.2">
      <c r="A112" s="26">
        <f t="shared" si="10"/>
        <v>41</v>
      </c>
      <c r="B112" s="22">
        <f t="shared" si="11"/>
        <v>1597805.1555670223</v>
      </c>
      <c r="C112" s="28">
        <f t="shared" si="12"/>
        <v>-9086.0030854224769</v>
      </c>
      <c r="D112" s="28">
        <f t="shared" si="7"/>
        <v>5151.1706591619131</v>
      </c>
      <c r="E112" s="28">
        <f t="shared" si="8"/>
        <v>-3934.8324262605638</v>
      </c>
      <c r="F112" s="23">
        <f t="shared" si="9"/>
        <v>1593870.3231407618</v>
      </c>
    </row>
    <row r="113" spans="1:6" x14ac:dyDescent="0.2">
      <c r="A113" s="26">
        <f t="shared" si="10"/>
        <v>42</v>
      </c>
      <c r="B113" s="22">
        <f t="shared" si="11"/>
        <v>1593870.3231407618</v>
      </c>
      <c r="C113" s="28">
        <f t="shared" si="12"/>
        <v>-9086.0030854224769</v>
      </c>
      <c r="D113" s="28">
        <f t="shared" si="7"/>
        <v>5138.485136604766</v>
      </c>
      <c r="E113" s="28">
        <f t="shared" si="8"/>
        <v>-3947.5179488177109</v>
      </c>
      <c r="F113" s="23">
        <f t="shared" si="9"/>
        <v>1589922.8051919441</v>
      </c>
    </row>
    <row r="114" spans="1:6" x14ac:dyDescent="0.2">
      <c r="A114" s="26">
        <f t="shared" si="10"/>
        <v>43</v>
      </c>
      <c r="B114" s="22">
        <f t="shared" si="11"/>
        <v>1589922.8051919441</v>
      </c>
      <c r="C114" s="28">
        <f t="shared" si="12"/>
        <v>-9086.0030854224769</v>
      </c>
      <c r="D114" s="28">
        <f t="shared" si="7"/>
        <v>5125.7587171389032</v>
      </c>
      <c r="E114" s="28">
        <f t="shared" si="8"/>
        <v>-3960.2443682835737</v>
      </c>
      <c r="F114" s="23">
        <f t="shared" si="9"/>
        <v>1585962.5608236606</v>
      </c>
    </row>
    <row r="115" spans="1:6" x14ac:dyDescent="0.2">
      <c r="A115" s="26">
        <f t="shared" si="10"/>
        <v>44</v>
      </c>
      <c r="B115" s="22">
        <f t="shared" si="11"/>
        <v>1585962.5608236606</v>
      </c>
      <c r="C115" s="28">
        <f t="shared" si="12"/>
        <v>-9086.0030854224769</v>
      </c>
      <c r="D115" s="28">
        <f t="shared" si="7"/>
        <v>5112.9912689166113</v>
      </c>
      <c r="E115" s="28">
        <f t="shared" si="8"/>
        <v>-3973.0118165058657</v>
      </c>
      <c r="F115" s="23">
        <f t="shared" si="9"/>
        <v>1581989.5490071548</v>
      </c>
    </row>
    <row r="116" spans="1:6" x14ac:dyDescent="0.2">
      <c r="A116" s="26">
        <f t="shared" si="10"/>
        <v>45</v>
      </c>
      <c r="B116" s="22">
        <f t="shared" si="11"/>
        <v>1581989.5490071548</v>
      </c>
      <c r="C116" s="28">
        <f t="shared" si="12"/>
        <v>-9086.0030854224769</v>
      </c>
      <c r="D116" s="28">
        <f t="shared" si="7"/>
        <v>5100.1826596651117</v>
      </c>
      <c r="E116" s="28">
        <f t="shared" si="8"/>
        <v>-3985.8204257573652</v>
      </c>
      <c r="F116" s="23">
        <f t="shared" si="9"/>
        <v>1578003.7285813973</v>
      </c>
    </row>
    <row r="117" spans="1:6" x14ac:dyDescent="0.2">
      <c r="A117" s="26">
        <f t="shared" si="10"/>
        <v>46</v>
      </c>
      <c r="B117" s="22">
        <f t="shared" si="11"/>
        <v>1578003.7285813973</v>
      </c>
      <c r="C117" s="28">
        <f t="shared" si="12"/>
        <v>-9086.0030854224769</v>
      </c>
      <c r="D117" s="28">
        <f t="shared" si="7"/>
        <v>5087.3327566851931</v>
      </c>
      <c r="E117" s="28">
        <f t="shared" si="8"/>
        <v>-3998.6703287372839</v>
      </c>
      <c r="F117" s="23">
        <f t="shared" si="9"/>
        <v>1574005.0582526601</v>
      </c>
    </row>
    <row r="118" spans="1:6" x14ac:dyDescent="0.2">
      <c r="A118" s="26">
        <f t="shared" si="10"/>
        <v>47</v>
      </c>
      <c r="B118" s="22">
        <f t="shared" si="11"/>
        <v>1574005.0582526601</v>
      </c>
      <c r="C118" s="28">
        <f t="shared" si="12"/>
        <v>-9086.0030854224769</v>
      </c>
      <c r="D118" s="28">
        <f t="shared" si="7"/>
        <v>5074.441426849834</v>
      </c>
      <c r="E118" s="28">
        <f t="shared" si="8"/>
        <v>-4011.561658572643</v>
      </c>
      <c r="F118" s="23">
        <f t="shared" si="9"/>
        <v>1569993.4965940875</v>
      </c>
    </row>
    <row r="119" spans="1:6" x14ac:dyDescent="0.2">
      <c r="A119" s="26">
        <f t="shared" si="10"/>
        <v>48</v>
      </c>
      <c r="B119" s="22">
        <f t="shared" si="11"/>
        <v>1569993.4965940875</v>
      </c>
      <c r="C119" s="28">
        <f t="shared" si="12"/>
        <v>-9086.0030854224769</v>
      </c>
      <c r="D119" s="28">
        <f t="shared" si="7"/>
        <v>5061.5085366028216</v>
      </c>
      <c r="E119" s="28">
        <f t="shared" si="8"/>
        <v>-4024.4945488196554</v>
      </c>
      <c r="F119" s="23">
        <f t="shared" si="9"/>
        <v>1565969.0020452677</v>
      </c>
    </row>
    <row r="120" spans="1:6" x14ac:dyDescent="0.2">
      <c r="A120" s="26">
        <f t="shared" si="10"/>
        <v>49</v>
      </c>
      <c r="B120" s="22">
        <f t="shared" si="11"/>
        <v>1565969.0020452677</v>
      </c>
      <c r="C120" s="28">
        <f t="shared" si="12"/>
        <v>-9086.0030854224769</v>
      </c>
      <c r="D120" s="28">
        <f t="shared" si="7"/>
        <v>5048.5339519573736</v>
      </c>
      <c r="E120" s="28">
        <f t="shared" si="8"/>
        <v>-4037.4691334651034</v>
      </c>
      <c r="F120" s="23">
        <f t="shared" si="9"/>
        <v>1561931.5329118026</v>
      </c>
    </row>
    <row r="121" spans="1:6" x14ac:dyDescent="0.2">
      <c r="A121" s="26">
        <f t="shared" si="10"/>
        <v>50</v>
      </c>
      <c r="B121" s="22">
        <f t="shared" si="11"/>
        <v>1561931.5329118026</v>
      </c>
      <c r="C121" s="28">
        <f t="shared" si="12"/>
        <v>-9086.0030854224769</v>
      </c>
      <c r="D121" s="28">
        <f t="shared" si="7"/>
        <v>5035.517538494747</v>
      </c>
      <c r="E121" s="28">
        <f t="shared" si="8"/>
        <v>-4050.48554692773</v>
      </c>
      <c r="F121" s="23">
        <f t="shared" si="9"/>
        <v>1557881.047364875</v>
      </c>
    </row>
    <row r="122" spans="1:6" x14ac:dyDescent="0.2">
      <c r="A122" s="26">
        <f t="shared" si="10"/>
        <v>51</v>
      </c>
      <c r="B122" s="22">
        <f t="shared" si="11"/>
        <v>1557881.047364875</v>
      </c>
      <c r="C122" s="28">
        <f t="shared" si="12"/>
        <v>-9086.0030854224769</v>
      </c>
      <c r="D122" s="28">
        <f t="shared" si="7"/>
        <v>5022.4591613628436</v>
      </c>
      <c r="E122" s="28">
        <f t="shared" si="8"/>
        <v>-4063.5439240596334</v>
      </c>
      <c r="F122" s="23">
        <f t="shared" si="9"/>
        <v>1553817.5034408153</v>
      </c>
    </row>
    <row r="123" spans="1:6" x14ac:dyDescent="0.2">
      <c r="A123" s="26">
        <f t="shared" si="10"/>
        <v>52</v>
      </c>
      <c r="B123" s="22">
        <f t="shared" si="11"/>
        <v>1553817.5034408153</v>
      </c>
      <c r="C123" s="28">
        <f t="shared" si="12"/>
        <v>-9086.0030854224769</v>
      </c>
      <c r="D123" s="28">
        <f t="shared" si="7"/>
        <v>5009.3586852748167</v>
      </c>
      <c r="E123" s="28">
        <f t="shared" si="8"/>
        <v>-4076.6444001476602</v>
      </c>
      <c r="F123" s="23">
        <f t="shared" si="9"/>
        <v>1549740.8590406675</v>
      </c>
    </row>
    <row r="124" spans="1:6" x14ac:dyDescent="0.2">
      <c r="A124" s="26">
        <f t="shared" si="10"/>
        <v>53</v>
      </c>
      <c r="B124" s="22">
        <f t="shared" si="11"/>
        <v>1549740.8590406675</v>
      </c>
      <c r="C124" s="28">
        <f t="shared" si="12"/>
        <v>-9086.0030854224769</v>
      </c>
      <c r="D124" s="28">
        <f t="shared" si="7"/>
        <v>4996.2159745076679</v>
      </c>
      <c r="E124" s="28">
        <f t="shared" si="8"/>
        <v>-4089.7871109148091</v>
      </c>
      <c r="F124" s="23">
        <f t="shared" si="9"/>
        <v>1545651.0719297528</v>
      </c>
    </row>
    <row r="125" spans="1:6" x14ac:dyDescent="0.2">
      <c r="A125" s="26">
        <f t="shared" si="10"/>
        <v>54</v>
      </c>
      <c r="B125" s="22">
        <f t="shared" si="11"/>
        <v>1545651.0719297528</v>
      </c>
      <c r="C125" s="28">
        <f t="shared" si="12"/>
        <v>-9086.0030854224769</v>
      </c>
      <c r="D125" s="28">
        <f t="shared" si="7"/>
        <v>4983.0308929008388</v>
      </c>
      <c r="E125" s="28">
        <f t="shared" si="8"/>
        <v>-4102.9721925216381</v>
      </c>
      <c r="F125" s="23">
        <f t="shared" si="9"/>
        <v>1541548.0997372312</v>
      </c>
    </row>
    <row r="126" spans="1:6" x14ac:dyDescent="0.2">
      <c r="A126" s="26">
        <f t="shared" si="10"/>
        <v>55</v>
      </c>
      <c r="B126" s="22">
        <f t="shared" si="11"/>
        <v>1541548.0997372312</v>
      </c>
      <c r="C126" s="28">
        <f t="shared" si="12"/>
        <v>-9086.0030854224769</v>
      </c>
      <c r="D126" s="28">
        <f t="shared" si="7"/>
        <v>4969.8033038548056</v>
      </c>
      <c r="E126" s="28">
        <f t="shared" si="8"/>
        <v>-4116.1997815676714</v>
      </c>
      <c r="F126" s="23">
        <f t="shared" si="9"/>
        <v>1537431.8999556636</v>
      </c>
    </row>
    <row r="127" spans="1:6" x14ac:dyDescent="0.2">
      <c r="A127" s="26">
        <f t="shared" si="10"/>
        <v>56</v>
      </c>
      <c r="B127" s="22">
        <f t="shared" si="11"/>
        <v>1537431.8999556636</v>
      </c>
      <c r="C127" s="28">
        <f t="shared" si="12"/>
        <v>-9086.0030854224769</v>
      </c>
      <c r="D127" s="28">
        <f t="shared" si="7"/>
        <v>4956.5330703296577</v>
      </c>
      <c r="E127" s="28">
        <f t="shared" si="8"/>
        <v>-4129.4700150928193</v>
      </c>
      <c r="F127" s="23">
        <f t="shared" si="9"/>
        <v>1533302.4299405708</v>
      </c>
    </row>
    <row r="128" spans="1:6" x14ac:dyDescent="0.2">
      <c r="A128" s="26">
        <f t="shared" si="10"/>
        <v>57</v>
      </c>
      <c r="B128" s="22">
        <f t="shared" si="11"/>
        <v>1533302.4299405708</v>
      </c>
      <c r="C128" s="28">
        <f t="shared" si="12"/>
        <v>-9086.0030854224769</v>
      </c>
      <c r="D128" s="28">
        <f t="shared" si="7"/>
        <v>4943.2200548436822</v>
      </c>
      <c r="E128" s="28">
        <f t="shared" si="8"/>
        <v>-4142.7830305787948</v>
      </c>
      <c r="F128" s="23">
        <f t="shared" si="9"/>
        <v>1529159.646909992</v>
      </c>
    </row>
    <row r="129" spans="1:6" x14ac:dyDescent="0.2">
      <c r="A129" s="26">
        <f t="shared" si="10"/>
        <v>58</v>
      </c>
      <c r="B129" s="22">
        <f t="shared" si="11"/>
        <v>1529159.646909992</v>
      </c>
      <c r="C129" s="28">
        <f t="shared" si="12"/>
        <v>-9086.0030854224769</v>
      </c>
      <c r="D129" s="28">
        <f t="shared" si="7"/>
        <v>4929.8641194719385</v>
      </c>
      <c r="E129" s="28">
        <f t="shared" si="8"/>
        <v>-4156.1389659505385</v>
      </c>
      <c r="F129" s="23">
        <f t="shared" si="9"/>
        <v>1525003.5079440414</v>
      </c>
    </row>
    <row r="130" spans="1:6" x14ac:dyDescent="0.2">
      <c r="A130" s="26">
        <f t="shared" si="10"/>
        <v>59</v>
      </c>
      <c r="B130" s="22">
        <f t="shared" si="11"/>
        <v>1525003.5079440414</v>
      </c>
      <c r="C130" s="28">
        <f t="shared" si="12"/>
        <v>-9086.0030854224769</v>
      </c>
      <c r="D130" s="28">
        <f t="shared" si="7"/>
        <v>4916.4651258448303</v>
      </c>
      <c r="E130" s="28">
        <f t="shared" si="8"/>
        <v>-4169.5379595776467</v>
      </c>
      <c r="F130" s="23">
        <f t="shared" si="9"/>
        <v>1520833.9699844636</v>
      </c>
    </row>
    <row r="131" spans="1:6" x14ac:dyDescent="0.2">
      <c r="A131" s="26">
        <f t="shared" si="10"/>
        <v>60</v>
      </c>
      <c r="B131" s="22">
        <f t="shared" si="11"/>
        <v>1520833.9699844636</v>
      </c>
      <c r="C131" s="28">
        <f t="shared" si="12"/>
        <v>-9086.0030854224769</v>
      </c>
      <c r="D131" s="28">
        <f t="shared" si="7"/>
        <v>4903.0229351466678</v>
      </c>
      <c r="E131" s="28">
        <f t="shared" si="8"/>
        <v>-4182.9801502758091</v>
      </c>
      <c r="F131" s="23">
        <f t="shared" si="9"/>
        <v>1516650.9898341878</v>
      </c>
    </row>
    <row r="132" spans="1:6" x14ac:dyDescent="0.2">
      <c r="A132" s="26">
        <f t="shared" si="10"/>
        <v>61</v>
      </c>
      <c r="B132" s="22">
        <f t="shared" si="11"/>
        <v>1516650.9898341878</v>
      </c>
      <c r="C132" s="28">
        <f t="shared" si="12"/>
        <v>-9086.0030854224769</v>
      </c>
      <c r="D132" s="28">
        <f t="shared" si="7"/>
        <v>4889.5374081142363</v>
      </c>
      <c r="E132" s="28">
        <f t="shared" si="8"/>
        <v>-4196.4656773082406</v>
      </c>
      <c r="F132" s="23">
        <f t="shared" si="9"/>
        <v>1512454.5241568796</v>
      </c>
    </row>
    <row r="133" spans="1:6" x14ac:dyDescent="0.2">
      <c r="A133" s="26">
        <f t="shared" si="10"/>
        <v>62</v>
      </c>
      <c r="B133" s="22">
        <f t="shared" si="11"/>
        <v>1512454.5241568796</v>
      </c>
      <c r="C133" s="28">
        <f t="shared" si="12"/>
        <v>-9086.0030854224769</v>
      </c>
      <c r="D133" s="28">
        <f t="shared" si="7"/>
        <v>4876.008405035348</v>
      </c>
      <c r="E133" s="28">
        <f t="shared" si="8"/>
        <v>-4209.9946803871289</v>
      </c>
      <c r="F133" s="23">
        <f t="shared" si="9"/>
        <v>1508244.5294764924</v>
      </c>
    </row>
    <row r="134" spans="1:6" x14ac:dyDescent="0.2">
      <c r="A134" s="26">
        <f t="shared" si="10"/>
        <v>63</v>
      </c>
      <c r="B134" s="22">
        <f t="shared" si="11"/>
        <v>1508244.5294764924</v>
      </c>
      <c r="C134" s="28">
        <f t="shared" si="12"/>
        <v>-9086.0030854224769</v>
      </c>
      <c r="D134" s="28">
        <f t="shared" si="7"/>
        <v>4862.435785747396</v>
      </c>
      <c r="E134" s="28">
        <f t="shared" si="8"/>
        <v>-4223.5672996750809</v>
      </c>
      <c r="F134" s="23">
        <f t="shared" si="9"/>
        <v>1504020.9621768172</v>
      </c>
    </row>
    <row r="135" spans="1:6" x14ac:dyDescent="0.2">
      <c r="A135" s="26">
        <f t="shared" si="10"/>
        <v>64</v>
      </c>
      <c r="B135" s="22">
        <f t="shared" si="11"/>
        <v>1504020.9621768172</v>
      </c>
      <c r="C135" s="28">
        <f t="shared" si="12"/>
        <v>-9086.0030854224769</v>
      </c>
      <c r="D135" s="28">
        <f t="shared" si="7"/>
        <v>4848.819409635903</v>
      </c>
      <c r="E135" s="28">
        <f t="shared" si="8"/>
        <v>-4237.183675786574</v>
      </c>
      <c r="F135" s="23">
        <f t="shared" si="9"/>
        <v>1499783.7785010308</v>
      </c>
    </row>
    <row r="136" spans="1:6" x14ac:dyDescent="0.2">
      <c r="A136" s="26">
        <f t="shared" si="10"/>
        <v>65</v>
      </c>
      <c r="B136" s="22">
        <f t="shared" si="11"/>
        <v>1499783.7785010308</v>
      </c>
      <c r="C136" s="28">
        <f t="shared" si="12"/>
        <v>-9086.0030854224769</v>
      </c>
      <c r="D136" s="28">
        <f t="shared" ref="D136:D199" si="13">+B136*$B$14</f>
        <v>4835.1591356330664</v>
      </c>
      <c r="E136" s="28">
        <f t="shared" ref="E136:E199" si="14">+C136+D136</f>
        <v>-4250.8439497894105</v>
      </c>
      <c r="F136" s="23">
        <f t="shared" ref="F136:F199" si="15">+B136+E136</f>
        <v>1495532.9345512413</v>
      </c>
    </row>
    <row r="137" spans="1:6" x14ac:dyDescent="0.2">
      <c r="A137" s="26">
        <f t="shared" ref="A137:A200" si="16">1+A136</f>
        <v>66</v>
      </c>
      <c r="B137" s="22">
        <f t="shared" ref="B137:B200" si="17">F136</f>
        <v>1495532.9345512413</v>
      </c>
      <c r="C137" s="28">
        <f t="shared" ref="C137:C200" si="18">C136</f>
        <v>-9086.0030854224769</v>
      </c>
      <c r="D137" s="28">
        <f t="shared" si="13"/>
        <v>4821.4548222162903</v>
      </c>
      <c r="E137" s="28">
        <f t="shared" si="14"/>
        <v>-4264.5482632061867</v>
      </c>
      <c r="F137" s="23">
        <f t="shared" si="15"/>
        <v>1491268.3862880352</v>
      </c>
    </row>
    <row r="138" spans="1:6" x14ac:dyDescent="0.2">
      <c r="A138" s="26">
        <f t="shared" si="16"/>
        <v>67</v>
      </c>
      <c r="B138" s="22">
        <f t="shared" si="17"/>
        <v>1491268.3862880352</v>
      </c>
      <c r="C138" s="28">
        <f t="shared" si="18"/>
        <v>-9086.0030854224769</v>
      </c>
      <c r="D138" s="28">
        <f t="shared" si="13"/>
        <v>4807.7063274067259</v>
      </c>
      <c r="E138" s="28">
        <f t="shared" si="14"/>
        <v>-4278.296758015751</v>
      </c>
      <c r="F138" s="23">
        <f t="shared" si="15"/>
        <v>1486990.0895300196</v>
      </c>
    </row>
    <row r="139" spans="1:6" x14ac:dyDescent="0.2">
      <c r="A139" s="26">
        <f t="shared" si="16"/>
        <v>68</v>
      </c>
      <c r="B139" s="22">
        <f t="shared" si="17"/>
        <v>1486990.0895300196</v>
      </c>
      <c r="C139" s="28">
        <f t="shared" si="18"/>
        <v>-9086.0030854224769</v>
      </c>
      <c r="D139" s="28">
        <f t="shared" si="13"/>
        <v>4793.9135087677996</v>
      </c>
      <c r="E139" s="28">
        <f t="shared" si="14"/>
        <v>-4292.0895766546773</v>
      </c>
      <c r="F139" s="23">
        <f t="shared" si="15"/>
        <v>1482697.999953365</v>
      </c>
    </row>
    <row r="140" spans="1:6" x14ac:dyDescent="0.2">
      <c r="A140" s="26">
        <f t="shared" si="16"/>
        <v>69</v>
      </c>
      <c r="B140" s="22">
        <f t="shared" si="17"/>
        <v>1482697.999953365</v>
      </c>
      <c r="C140" s="28">
        <f t="shared" si="18"/>
        <v>-9086.0030854224769</v>
      </c>
      <c r="D140" s="28">
        <f t="shared" si="13"/>
        <v>4780.0762234037329</v>
      </c>
      <c r="E140" s="28">
        <f t="shared" si="14"/>
        <v>-4305.926862018744</v>
      </c>
      <c r="F140" s="23">
        <f t="shared" si="15"/>
        <v>1478392.0730913463</v>
      </c>
    </row>
    <row r="141" spans="1:6" x14ac:dyDescent="0.2">
      <c r="A141" s="26">
        <f t="shared" si="16"/>
        <v>70</v>
      </c>
      <c r="B141" s="22">
        <f t="shared" si="17"/>
        <v>1478392.0730913463</v>
      </c>
      <c r="C141" s="28">
        <f t="shared" si="18"/>
        <v>-9086.0030854224769</v>
      </c>
      <c r="D141" s="28">
        <f t="shared" si="13"/>
        <v>4766.1943279580664</v>
      </c>
      <c r="E141" s="28">
        <f t="shared" si="14"/>
        <v>-4319.8087574644105</v>
      </c>
      <c r="F141" s="23">
        <f t="shared" si="15"/>
        <v>1474072.2643338819</v>
      </c>
    </row>
    <row r="142" spans="1:6" x14ac:dyDescent="0.2">
      <c r="A142" s="26">
        <f t="shared" si="16"/>
        <v>71</v>
      </c>
      <c r="B142" s="22">
        <f t="shared" si="17"/>
        <v>1474072.2643338819</v>
      </c>
      <c r="C142" s="28">
        <f t="shared" si="18"/>
        <v>-9086.0030854224769</v>
      </c>
      <c r="D142" s="28">
        <f t="shared" si="13"/>
        <v>4752.2676786121747</v>
      </c>
      <c r="E142" s="28">
        <f t="shared" si="14"/>
        <v>-4333.7354068103023</v>
      </c>
      <c r="F142" s="23">
        <f t="shared" si="15"/>
        <v>1469738.5289270715</v>
      </c>
    </row>
    <row r="143" spans="1:6" x14ac:dyDescent="0.2">
      <c r="A143" s="26">
        <f t="shared" si="16"/>
        <v>72</v>
      </c>
      <c r="B143" s="22">
        <f t="shared" si="17"/>
        <v>1469738.5289270715</v>
      </c>
      <c r="C143" s="28">
        <f t="shared" si="18"/>
        <v>-9086.0030854224769</v>
      </c>
      <c r="D143" s="28">
        <f t="shared" si="13"/>
        <v>4738.2961310837709</v>
      </c>
      <c r="E143" s="28">
        <f t="shared" si="14"/>
        <v>-4347.7069543387061</v>
      </c>
      <c r="F143" s="23">
        <f t="shared" si="15"/>
        <v>1465390.8219727327</v>
      </c>
    </row>
    <row r="144" spans="1:6" x14ac:dyDescent="0.2">
      <c r="A144" s="26">
        <f t="shared" si="16"/>
        <v>73</v>
      </c>
      <c r="B144" s="22">
        <f t="shared" si="17"/>
        <v>1465390.8219727327</v>
      </c>
      <c r="C144" s="28">
        <f t="shared" si="18"/>
        <v>-9086.0030854224769</v>
      </c>
      <c r="D144" s="28">
        <f t="shared" si="13"/>
        <v>4724.2795406254199</v>
      </c>
      <c r="E144" s="28">
        <f t="shared" si="14"/>
        <v>-4361.723544797057</v>
      </c>
      <c r="F144" s="23">
        <f t="shared" si="15"/>
        <v>1461029.0984279355</v>
      </c>
    </row>
    <row r="145" spans="1:6" x14ac:dyDescent="0.2">
      <c r="A145" s="26">
        <f t="shared" si="16"/>
        <v>74</v>
      </c>
      <c r="B145" s="22">
        <f t="shared" si="17"/>
        <v>1461029.0984279355</v>
      </c>
      <c r="C145" s="28">
        <f t="shared" si="18"/>
        <v>-9086.0030854224769</v>
      </c>
      <c r="D145" s="28">
        <f t="shared" si="13"/>
        <v>4710.2177620230341</v>
      </c>
      <c r="E145" s="28">
        <f t="shared" si="14"/>
        <v>-4375.7853233994429</v>
      </c>
      <c r="F145" s="23">
        <f t="shared" si="15"/>
        <v>1456653.3131045362</v>
      </c>
    </row>
    <row r="146" spans="1:6" x14ac:dyDescent="0.2">
      <c r="A146" s="26">
        <f t="shared" si="16"/>
        <v>75</v>
      </c>
      <c r="B146" s="22">
        <f t="shared" si="17"/>
        <v>1456653.3131045362</v>
      </c>
      <c r="C146" s="28">
        <f t="shared" si="18"/>
        <v>-9086.0030854224769</v>
      </c>
      <c r="D146" s="28">
        <f t="shared" si="13"/>
        <v>4696.1106495943677</v>
      </c>
      <c r="E146" s="28">
        <f t="shared" si="14"/>
        <v>-4389.8924358281092</v>
      </c>
      <c r="F146" s="23">
        <f t="shared" si="15"/>
        <v>1452263.4206687079</v>
      </c>
    </row>
    <row r="147" spans="1:6" x14ac:dyDescent="0.2">
      <c r="A147" s="26">
        <f t="shared" si="16"/>
        <v>76</v>
      </c>
      <c r="B147" s="22">
        <f t="shared" si="17"/>
        <v>1452263.4206687079</v>
      </c>
      <c r="C147" s="28">
        <f t="shared" si="18"/>
        <v>-9086.0030854224769</v>
      </c>
      <c r="D147" s="28">
        <f t="shared" si="13"/>
        <v>4681.9580571875103</v>
      </c>
      <c r="E147" s="28">
        <f t="shared" si="14"/>
        <v>-4404.0450282349666</v>
      </c>
      <c r="F147" s="23">
        <f t="shared" si="15"/>
        <v>1447859.3756404729</v>
      </c>
    </row>
    <row r="148" spans="1:6" x14ac:dyDescent="0.2">
      <c r="A148" s="26">
        <f t="shared" si="16"/>
        <v>77</v>
      </c>
      <c r="B148" s="22">
        <f t="shared" si="17"/>
        <v>1447859.3756404729</v>
      </c>
      <c r="C148" s="28">
        <f t="shared" si="18"/>
        <v>-9086.0030854224769</v>
      </c>
      <c r="D148" s="28">
        <f t="shared" si="13"/>
        <v>4667.7598381793723</v>
      </c>
      <c r="E148" s="28">
        <f t="shared" si="14"/>
        <v>-4418.2432472431046</v>
      </c>
      <c r="F148" s="23">
        <f t="shared" si="15"/>
        <v>1443441.1323932298</v>
      </c>
    </row>
    <row r="149" spans="1:6" x14ac:dyDescent="0.2">
      <c r="A149" s="26">
        <f t="shared" si="16"/>
        <v>78</v>
      </c>
      <c r="B149" s="22">
        <f t="shared" si="17"/>
        <v>1443441.1323932298</v>
      </c>
      <c r="C149" s="28">
        <f t="shared" si="18"/>
        <v>-9086.0030854224769</v>
      </c>
      <c r="D149" s="28">
        <f t="shared" si="13"/>
        <v>4653.5158454741659</v>
      </c>
      <c r="E149" s="28">
        <f t="shared" si="14"/>
        <v>-4432.4872399483111</v>
      </c>
      <c r="F149" s="23">
        <f t="shared" si="15"/>
        <v>1439008.6451532815</v>
      </c>
    </row>
    <row r="150" spans="1:6" x14ac:dyDescent="0.2">
      <c r="A150" s="26">
        <f t="shared" si="16"/>
        <v>79</v>
      </c>
      <c r="B150" s="22">
        <f t="shared" si="17"/>
        <v>1439008.6451532815</v>
      </c>
      <c r="C150" s="28">
        <f t="shared" si="18"/>
        <v>-9086.0030854224769</v>
      </c>
      <c r="D150" s="28">
        <f t="shared" si="13"/>
        <v>4639.2259315018773</v>
      </c>
      <c r="E150" s="28">
        <f t="shared" si="14"/>
        <v>-4446.7771539205996</v>
      </c>
      <c r="F150" s="23">
        <f t="shared" si="15"/>
        <v>1434561.8679993609</v>
      </c>
    </row>
    <row r="151" spans="1:6" x14ac:dyDescent="0.2">
      <c r="A151" s="26">
        <f t="shared" si="16"/>
        <v>80</v>
      </c>
      <c r="B151" s="22">
        <f t="shared" si="17"/>
        <v>1434561.8679993609</v>
      </c>
      <c r="C151" s="28">
        <f t="shared" si="18"/>
        <v>-9086.0030854224769</v>
      </c>
      <c r="D151" s="28">
        <f t="shared" si="13"/>
        <v>4624.8899482167453</v>
      </c>
      <c r="E151" s="28">
        <f t="shared" si="14"/>
        <v>-4461.1131372057316</v>
      </c>
      <c r="F151" s="23">
        <f t="shared" si="15"/>
        <v>1430100.7548621551</v>
      </c>
    </row>
    <row r="152" spans="1:6" x14ac:dyDescent="0.2">
      <c r="A152" s="26">
        <f t="shared" si="16"/>
        <v>81</v>
      </c>
      <c r="B152" s="22">
        <f t="shared" si="17"/>
        <v>1430100.7548621551</v>
      </c>
      <c r="C152" s="28">
        <f t="shared" si="18"/>
        <v>-9086.0030854224769</v>
      </c>
      <c r="D152" s="28">
        <f t="shared" si="13"/>
        <v>4610.5077470957194</v>
      </c>
      <c r="E152" s="28">
        <f t="shared" si="14"/>
        <v>-4475.4953383267575</v>
      </c>
      <c r="F152" s="23">
        <f t="shared" si="15"/>
        <v>1425625.2595238283</v>
      </c>
    </row>
    <row r="153" spans="1:6" x14ac:dyDescent="0.2">
      <c r="A153" s="26">
        <f t="shared" si="16"/>
        <v>82</v>
      </c>
      <c r="B153" s="22">
        <f t="shared" si="17"/>
        <v>1425625.2595238283</v>
      </c>
      <c r="C153" s="28">
        <f t="shared" si="18"/>
        <v>-9086.0030854224769</v>
      </c>
      <c r="D153" s="28">
        <f t="shared" si="13"/>
        <v>4596.0791791369284</v>
      </c>
      <c r="E153" s="28">
        <f t="shared" si="14"/>
        <v>-4489.9239062855486</v>
      </c>
      <c r="F153" s="23">
        <f t="shared" si="15"/>
        <v>1421135.3356175427</v>
      </c>
    </row>
    <row r="154" spans="1:6" x14ac:dyDescent="0.2">
      <c r="A154" s="26">
        <f t="shared" si="16"/>
        <v>83</v>
      </c>
      <c r="B154" s="22">
        <f t="shared" si="17"/>
        <v>1421135.3356175427</v>
      </c>
      <c r="C154" s="28">
        <f t="shared" si="18"/>
        <v>-9086.0030854224769</v>
      </c>
      <c r="D154" s="28">
        <f t="shared" si="13"/>
        <v>4581.6040948581322</v>
      </c>
      <c r="E154" s="28">
        <f t="shared" si="14"/>
        <v>-4504.3989905643448</v>
      </c>
      <c r="F154" s="23">
        <f t="shared" si="15"/>
        <v>1416630.9366269785</v>
      </c>
    </row>
    <row r="155" spans="1:6" x14ac:dyDescent="0.2">
      <c r="A155" s="26">
        <f t="shared" si="16"/>
        <v>84</v>
      </c>
      <c r="B155" s="22">
        <f t="shared" si="17"/>
        <v>1416630.9366269785</v>
      </c>
      <c r="C155" s="28">
        <f t="shared" si="18"/>
        <v>-9086.0030854224769</v>
      </c>
      <c r="D155" s="28">
        <f t="shared" si="13"/>
        <v>4567.0823442951742</v>
      </c>
      <c r="E155" s="28">
        <f t="shared" si="14"/>
        <v>-4518.9207411273028</v>
      </c>
      <c r="F155" s="23">
        <f t="shared" si="15"/>
        <v>1412112.0158858511</v>
      </c>
    </row>
    <row r="156" spans="1:6" x14ac:dyDescent="0.2">
      <c r="A156" s="26">
        <f t="shared" si="16"/>
        <v>85</v>
      </c>
      <c r="B156" s="22">
        <f t="shared" si="17"/>
        <v>1412112.0158858511</v>
      </c>
      <c r="C156" s="28">
        <f t="shared" si="18"/>
        <v>-9086.0030854224769</v>
      </c>
      <c r="D156" s="28">
        <f t="shared" si="13"/>
        <v>4552.5137770004267</v>
      </c>
      <c r="E156" s="28">
        <f t="shared" si="14"/>
        <v>-4533.4893084220503</v>
      </c>
      <c r="F156" s="23">
        <f t="shared" si="15"/>
        <v>1407578.5265774291</v>
      </c>
    </row>
    <row r="157" spans="1:6" x14ac:dyDescent="0.2">
      <c r="A157" s="26">
        <f t="shared" si="16"/>
        <v>86</v>
      </c>
      <c r="B157" s="22">
        <f t="shared" si="17"/>
        <v>1407578.5265774291</v>
      </c>
      <c r="C157" s="28">
        <f t="shared" si="18"/>
        <v>-9086.0030854224769</v>
      </c>
      <c r="D157" s="28">
        <f t="shared" si="13"/>
        <v>4537.898242041234</v>
      </c>
      <c r="E157" s="28">
        <f t="shared" si="14"/>
        <v>-4548.104843381243</v>
      </c>
      <c r="F157" s="23">
        <f t="shared" si="15"/>
        <v>1403030.4217340478</v>
      </c>
    </row>
    <row r="158" spans="1:6" x14ac:dyDescent="0.2">
      <c r="A158" s="26">
        <f t="shared" si="16"/>
        <v>87</v>
      </c>
      <c r="B158" s="22">
        <f t="shared" si="17"/>
        <v>1403030.4217340478</v>
      </c>
      <c r="C158" s="28">
        <f t="shared" si="18"/>
        <v>-9086.0030854224769</v>
      </c>
      <c r="D158" s="28">
        <f t="shared" si="13"/>
        <v>4523.2355879983488</v>
      </c>
      <c r="E158" s="28">
        <f t="shared" si="14"/>
        <v>-4562.7674974241281</v>
      </c>
      <c r="F158" s="23">
        <f t="shared" si="15"/>
        <v>1398467.6542366238</v>
      </c>
    </row>
    <row r="159" spans="1:6" x14ac:dyDescent="0.2">
      <c r="A159" s="26">
        <f t="shared" si="16"/>
        <v>88</v>
      </c>
      <c r="B159" s="22">
        <f t="shared" si="17"/>
        <v>1398467.6542366238</v>
      </c>
      <c r="C159" s="28">
        <f t="shared" si="18"/>
        <v>-9086.0030854224769</v>
      </c>
      <c r="D159" s="28">
        <f t="shared" si="13"/>
        <v>4508.5256629643618</v>
      </c>
      <c r="E159" s="28">
        <f t="shared" si="14"/>
        <v>-4577.4774224581151</v>
      </c>
      <c r="F159" s="23">
        <f t="shared" si="15"/>
        <v>1393890.1768141657</v>
      </c>
    </row>
    <row r="160" spans="1:6" x14ac:dyDescent="0.2">
      <c r="A160" s="26">
        <f t="shared" si="16"/>
        <v>89</v>
      </c>
      <c r="B160" s="22">
        <f t="shared" si="17"/>
        <v>1393890.1768141657</v>
      </c>
      <c r="C160" s="28">
        <f t="shared" si="18"/>
        <v>-9086.0030854224769</v>
      </c>
      <c r="D160" s="28">
        <f t="shared" si="13"/>
        <v>4493.7683145421288</v>
      </c>
      <c r="E160" s="28">
        <f t="shared" si="14"/>
        <v>-4592.2347708803482</v>
      </c>
      <c r="F160" s="23">
        <f t="shared" si="15"/>
        <v>1389297.9420432854</v>
      </c>
    </row>
    <row r="161" spans="1:6" x14ac:dyDescent="0.2">
      <c r="A161" s="26">
        <f t="shared" si="16"/>
        <v>90</v>
      </c>
      <c r="B161" s="22">
        <f t="shared" si="17"/>
        <v>1389297.9420432854</v>
      </c>
      <c r="C161" s="28">
        <f t="shared" si="18"/>
        <v>-9086.0030854224769</v>
      </c>
      <c r="D161" s="28">
        <f t="shared" si="13"/>
        <v>4478.963389843193</v>
      </c>
      <c r="E161" s="28">
        <f t="shared" si="14"/>
        <v>-4607.0396955792839</v>
      </c>
      <c r="F161" s="23">
        <f t="shared" si="15"/>
        <v>1384690.902347706</v>
      </c>
    </row>
    <row r="162" spans="1:6" x14ac:dyDescent="0.2">
      <c r="A162" s="26">
        <f t="shared" si="16"/>
        <v>91</v>
      </c>
      <c r="B162" s="22">
        <f t="shared" si="17"/>
        <v>1384690.902347706</v>
      </c>
      <c r="C162" s="28">
        <f t="shared" si="18"/>
        <v>-9086.0030854224769</v>
      </c>
      <c r="D162" s="28">
        <f t="shared" si="13"/>
        <v>4464.110735486197</v>
      </c>
      <c r="E162" s="28">
        <f t="shared" si="14"/>
        <v>-4621.89234993628</v>
      </c>
      <c r="F162" s="23">
        <f t="shared" si="15"/>
        <v>1380069.0099977697</v>
      </c>
    </row>
    <row r="163" spans="1:6" x14ac:dyDescent="0.2">
      <c r="A163" s="26">
        <f t="shared" si="16"/>
        <v>92</v>
      </c>
      <c r="B163" s="22">
        <f t="shared" si="17"/>
        <v>1380069.0099977697</v>
      </c>
      <c r="C163" s="28">
        <f t="shared" si="18"/>
        <v>-9086.0030854224769</v>
      </c>
      <c r="D163" s="28">
        <f t="shared" si="13"/>
        <v>4449.2101975953001</v>
      </c>
      <c r="E163" s="28">
        <f t="shared" si="14"/>
        <v>-4636.7928878271769</v>
      </c>
      <c r="F163" s="23">
        <f t="shared" si="15"/>
        <v>1375432.2171099426</v>
      </c>
    </row>
    <row r="164" spans="1:6" x14ac:dyDescent="0.2">
      <c r="A164" s="26">
        <f t="shared" si="16"/>
        <v>93</v>
      </c>
      <c r="B164" s="22">
        <f t="shared" si="17"/>
        <v>1375432.2171099426</v>
      </c>
      <c r="C164" s="28">
        <f t="shared" si="18"/>
        <v>-9086.0030854224769</v>
      </c>
      <c r="D164" s="28">
        <f t="shared" si="13"/>
        <v>4434.2616217985787</v>
      </c>
      <c r="E164" s="28">
        <f t="shared" si="14"/>
        <v>-4651.7414636238982</v>
      </c>
      <c r="F164" s="23">
        <f t="shared" si="15"/>
        <v>1370780.4756463186</v>
      </c>
    </row>
    <row r="165" spans="1:6" x14ac:dyDescent="0.2">
      <c r="A165" s="26">
        <f t="shared" si="16"/>
        <v>94</v>
      </c>
      <c r="B165" s="22">
        <f t="shared" si="17"/>
        <v>1370780.4756463186</v>
      </c>
      <c r="C165" s="28">
        <f t="shared" si="18"/>
        <v>-9086.0030854224769</v>
      </c>
      <c r="D165" s="28">
        <f t="shared" si="13"/>
        <v>4419.2648532264293</v>
      </c>
      <c r="E165" s="28">
        <f t="shared" si="14"/>
        <v>-4666.7382321960476</v>
      </c>
      <c r="F165" s="23">
        <f t="shared" si="15"/>
        <v>1366113.7374141226</v>
      </c>
    </row>
    <row r="166" spans="1:6" x14ac:dyDescent="0.2">
      <c r="A166" s="26">
        <f t="shared" si="16"/>
        <v>95</v>
      </c>
      <c r="B166" s="22">
        <f t="shared" si="17"/>
        <v>1366113.7374141226</v>
      </c>
      <c r="C166" s="28">
        <f t="shared" si="18"/>
        <v>-9086.0030854224769</v>
      </c>
      <c r="D166" s="28">
        <f t="shared" si="13"/>
        <v>4404.2197365099628</v>
      </c>
      <c r="E166" s="28">
        <f t="shared" si="14"/>
        <v>-4681.7833489125142</v>
      </c>
      <c r="F166" s="23">
        <f t="shared" si="15"/>
        <v>1361431.95406521</v>
      </c>
    </row>
    <row r="167" spans="1:6" x14ac:dyDescent="0.2">
      <c r="A167" s="26">
        <f t="shared" si="16"/>
        <v>96</v>
      </c>
      <c r="B167" s="22">
        <f t="shared" si="17"/>
        <v>1361431.95406521</v>
      </c>
      <c r="C167" s="28">
        <f t="shared" si="18"/>
        <v>-9086.0030854224769</v>
      </c>
      <c r="D167" s="28">
        <f t="shared" si="13"/>
        <v>4389.126115779397</v>
      </c>
      <c r="E167" s="28">
        <f t="shared" si="14"/>
        <v>-4696.87696964308</v>
      </c>
      <c r="F167" s="23">
        <f t="shared" si="15"/>
        <v>1356735.0770955668</v>
      </c>
    </row>
    <row r="168" spans="1:6" x14ac:dyDescent="0.2">
      <c r="A168" s="26">
        <f t="shared" si="16"/>
        <v>97</v>
      </c>
      <c r="B168" s="22">
        <f t="shared" si="17"/>
        <v>1356735.0770955668</v>
      </c>
      <c r="C168" s="28">
        <f t="shared" si="18"/>
        <v>-9086.0030854224769</v>
      </c>
      <c r="D168" s="28">
        <f t="shared" si="13"/>
        <v>4373.9838346624401</v>
      </c>
      <c r="E168" s="28">
        <f t="shared" si="14"/>
        <v>-4712.0192507600368</v>
      </c>
      <c r="F168" s="23">
        <f t="shared" si="15"/>
        <v>1352023.0578448067</v>
      </c>
    </row>
    <row r="169" spans="1:6" x14ac:dyDescent="0.2">
      <c r="A169" s="26">
        <f t="shared" si="16"/>
        <v>98</v>
      </c>
      <c r="B169" s="22">
        <f t="shared" si="17"/>
        <v>1352023.0578448067</v>
      </c>
      <c r="C169" s="28">
        <f t="shared" si="18"/>
        <v>-9086.0030854224769</v>
      </c>
      <c r="D169" s="28">
        <f t="shared" si="13"/>
        <v>4358.7927362826704</v>
      </c>
      <c r="E169" s="28">
        <f t="shared" si="14"/>
        <v>-4727.2103491398066</v>
      </c>
      <c r="F169" s="23">
        <f t="shared" si="15"/>
        <v>1347295.8474956669</v>
      </c>
    </row>
    <row r="170" spans="1:6" x14ac:dyDescent="0.2">
      <c r="A170" s="26">
        <f t="shared" si="16"/>
        <v>99</v>
      </c>
      <c r="B170" s="22">
        <f t="shared" si="17"/>
        <v>1347295.8474956669</v>
      </c>
      <c r="C170" s="28">
        <f t="shared" si="18"/>
        <v>-9086.0030854224769</v>
      </c>
      <c r="D170" s="28">
        <f t="shared" si="13"/>
        <v>4343.5526632579131</v>
      </c>
      <c r="E170" s="28">
        <f t="shared" si="14"/>
        <v>-4742.4504221645639</v>
      </c>
      <c r="F170" s="23">
        <f t="shared" si="15"/>
        <v>1342553.3970735024</v>
      </c>
    </row>
    <row r="171" spans="1:6" x14ac:dyDescent="0.2">
      <c r="A171" s="26">
        <f t="shared" si="16"/>
        <v>100</v>
      </c>
      <c r="B171" s="22">
        <f t="shared" si="17"/>
        <v>1342553.3970735024</v>
      </c>
      <c r="C171" s="28">
        <f t="shared" si="18"/>
        <v>-9086.0030854224769</v>
      </c>
      <c r="D171" s="28">
        <f t="shared" si="13"/>
        <v>4328.2634576986065</v>
      </c>
      <c r="E171" s="28">
        <f t="shared" si="14"/>
        <v>-4757.7396277238704</v>
      </c>
      <c r="F171" s="23">
        <f t="shared" si="15"/>
        <v>1337795.6574457786</v>
      </c>
    </row>
    <row r="172" spans="1:6" x14ac:dyDescent="0.2">
      <c r="A172" s="26">
        <f t="shared" si="16"/>
        <v>101</v>
      </c>
      <c r="B172" s="22">
        <f t="shared" si="17"/>
        <v>1337795.6574457786</v>
      </c>
      <c r="C172" s="28">
        <f t="shared" si="18"/>
        <v>-9086.0030854224769</v>
      </c>
      <c r="D172" s="28">
        <f t="shared" si="13"/>
        <v>4312.9249612061694</v>
      </c>
      <c r="E172" s="28">
        <f t="shared" si="14"/>
        <v>-4773.0781242163075</v>
      </c>
      <c r="F172" s="23">
        <f t="shared" si="15"/>
        <v>1333022.5793215623</v>
      </c>
    </row>
    <row r="173" spans="1:6" x14ac:dyDescent="0.2">
      <c r="A173" s="26">
        <f t="shared" si="16"/>
        <v>102</v>
      </c>
      <c r="B173" s="22">
        <f t="shared" si="17"/>
        <v>1333022.5793215623</v>
      </c>
      <c r="C173" s="28">
        <f t="shared" si="18"/>
        <v>-9086.0030854224769</v>
      </c>
      <c r="D173" s="28">
        <f t="shared" si="13"/>
        <v>4297.5370148713573</v>
      </c>
      <c r="E173" s="28">
        <f t="shared" si="14"/>
        <v>-4788.4660705511196</v>
      </c>
      <c r="F173" s="23">
        <f t="shared" si="15"/>
        <v>1328234.1132510111</v>
      </c>
    </row>
    <row r="174" spans="1:6" x14ac:dyDescent="0.2">
      <c r="A174" s="26">
        <f t="shared" si="16"/>
        <v>103</v>
      </c>
      <c r="B174" s="22">
        <f t="shared" si="17"/>
        <v>1328234.1132510111</v>
      </c>
      <c r="C174" s="28">
        <f t="shared" si="18"/>
        <v>-9086.0030854224769</v>
      </c>
      <c r="D174" s="28">
        <f t="shared" si="13"/>
        <v>4282.0994592726202</v>
      </c>
      <c r="E174" s="28">
        <f t="shared" si="14"/>
        <v>-4803.9036261498568</v>
      </c>
      <c r="F174" s="23">
        <f t="shared" si="15"/>
        <v>1323430.2096248614</v>
      </c>
    </row>
    <row r="175" spans="1:6" x14ac:dyDescent="0.2">
      <c r="A175" s="26">
        <f t="shared" si="16"/>
        <v>104</v>
      </c>
      <c r="B175" s="22">
        <f t="shared" si="17"/>
        <v>1323430.2096248614</v>
      </c>
      <c r="C175" s="28">
        <f t="shared" si="18"/>
        <v>-9086.0030854224769</v>
      </c>
      <c r="D175" s="28">
        <f t="shared" si="13"/>
        <v>4266.6121344744452</v>
      </c>
      <c r="E175" s="28">
        <f t="shared" si="14"/>
        <v>-4819.3909509480318</v>
      </c>
      <c r="F175" s="23">
        <f t="shared" si="15"/>
        <v>1318610.8186739134</v>
      </c>
    </row>
    <row r="176" spans="1:6" x14ac:dyDescent="0.2">
      <c r="A176" s="26">
        <f t="shared" si="16"/>
        <v>105</v>
      </c>
      <c r="B176" s="22">
        <f t="shared" si="17"/>
        <v>1318610.8186739134</v>
      </c>
      <c r="C176" s="28">
        <f t="shared" si="18"/>
        <v>-9086.0030854224769</v>
      </c>
      <c r="D176" s="28">
        <f t="shared" si="13"/>
        <v>4251.0748800257052</v>
      </c>
      <c r="E176" s="28">
        <f t="shared" si="14"/>
        <v>-4834.9282053967718</v>
      </c>
      <c r="F176" s="23">
        <f t="shared" si="15"/>
        <v>1313775.8904685166</v>
      </c>
    </row>
    <row r="177" spans="1:6" x14ac:dyDescent="0.2">
      <c r="A177" s="26">
        <f t="shared" si="16"/>
        <v>106</v>
      </c>
      <c r="B177" s="22">
        <f t="shared" si="17"/>
        <v>1313775.8904685166</v>
      </c>
      <c r="C177" s="28">
        <f t="shared" si="18"/>
        <v>-9086.0030854224769</v>
      </c>
      <c r="D177" s="28">
        <f t="shared" si="13"/>
        <v>4235.4875349579925</v>
      </c>
      <c r="E177" s="28">
        <f t="shared" si="14"/>
        <v>-4850.5155504644845</v>
      </c>
      <c r="F177" s="23">
        <f t="shared" si="15"/>
        <v>1308925.3749180522</v>
      </c>
    </row>
    <row r="178" spans="1:6" x14ac:dyDescent="0.2">
      <c r="A178" s="26">
        <f t="shared" si="16"/>
        <v>107</v>
      </c>
      <c r="B178" s="22">
        <f t="shared" si="17"/>
        <v>1308925.3749180522</v>
      </c>
      <c r="C178" s="28">
        <f t="shared" si="18"/>
        <v>-9086.0030854224769</v>
      </c>
      <c r="D178" s="28">
        <f t="shared" si="13"/>
        <v>4219.8499377839526</v>
      </c>
      <c r="E178" s="28">
        <f t="shared" si="14"/>
        <v>-4866.1531476385244</v>
      </c>
      <c r="F178" s="23">
        <f t="shared" si="15"/>
        <v>1304059.2217704137</v>
      </c>
    </row>
    <row r="179" spans="1:6" x14ac:dyDescent="0.2">
      <c r="A179" s="26">
        <f t="shared" si="16"/>
        <v>108</v>
      </c>
      <c r="B179" s="22">
        <f t="shared" si="17"/>
        <v>1304059.2217704137</v>
      </c>
      <c r="C179" s="28">
        <f t="shared" si="18"/>
        <v>-9086.0030854224769</v>
      </c>
      <c r="D179" s="28">
        <f t="shared" si="13"/>
        <v>4204.1619264956125</v>
      </c>
      <c r="E179" s="28">
        <f t="shared" si="14"/>
        <v>-4881.8411589268644</v>
      </c>
      <c r="F179" s="23">
        <f t="shared" si="15"/>
        <v>1299177.3806114867</v>
      </c>
    </row>
    <row r="180" spans="1:6" x14ac:dyDescent="0.2">
      <c r="A180" s="26">
        <f t="shared" si="16"/>
        <v>109</v>
      </c>
      <c r="B180" s="22">
        <f t="shared" si="17"/>
        <v>1299177.3806114867</v>
      </c>
      <c r="C180" s="28">
        <f t="shared" si="18"/>
        <v>-9086.0030854224769</v>
      </c>
      <c r="D180" s="28">
        <f t="shared" si="13"/>
        <v>4188.4233385626994</v>
      </c>
      <c r="E180" s="28">
        <f t="shared" si="14"/>
        <v>-4897.5797468597775</v>
      </c>
      <c r="F180" s="23">
        <f t="shared" si="15"/>
        <v>1294279.8008646269</v>
      </c>
    </row>
    <row r="181" spans="1:6" x14ac:dyDescent="0.2">
      <c r="A181" s="26">
        <f t="shared" si="16"/>
        <v>110</v>
      </c>
      <c r="B181" s="22">
        <f t="shared" si="17"/>
        <v>1294279.8008646269</v>
      </c>
      <c r="C181" s="28">
        <f t="shared" si="18"/>
        <v>-9086.0030854224769</v>
      </c>
      <c r="D181" s="28">
        <f t="shared" si="13"/>
        <v>4172.6340109309594</v>
      </c>
      <c r="E181" s="28">
        <f t="shared" si="14"/>
        <v>-4913.3690744915175</v>
      </c>
      <c r="F181" s="23">
        <f t="shared" si="15"/>
        <v>1289366.4317901353</v>
      </c>
    </row>
    <row r="182" spans="1:6" x14ac:dyDescent="0.2">
      <c r="A182" s="26">
        <f t="shared" si="16"/>
        <v>111</v>
      </c>
      <c r="B182" s="22">
        <f t="shared" si="17"/>
        <v>1289366.4317901353</v>
      </c>
      <c r="C182" s="28">
        <f t="shared" si="18"/>
        <v>-9086.0030854224769</v>
      </c>
      <c r="D182" s="28">
        <f t="shared" si="13"/>
        <v>4156.7937800204691</v>
      </c>
      <c r="E182" s="28">
        <f t="shared" si="14"/>
        <v>-4929.2093054020079</v>
      </c>
      <c r="F182" s="23">
        <f t="shared" si="15"/>
        <v>1284437.2224847334</v>
      </c>
    </row>
    <row r="183" spans="1:6" x14ac:dyDescent="0.2">
      <c r="A183" s="26">
        <f t="shared" si="16"/>
        <v>112</v>
      </c>
      <c r="B183" s="22">
        <f t="shared" si="17"/>
        <v>1284437.2224847334</v>
      </c>
      <c r="C183" s="28">
        <f t="shared" si="18"/>
        <v>-9086.0030854224769</v>
      </c>
      <c r="D183" s="28">
        <f t="shared" si="13"/>
        <v>4140.902481723936</v>
      </c>
      <c r="E183" s="28">
        <f t="shared" si="14"/>
        <v>-4945.1006036985409</v>
      </c>
      <c r="F183" s="23">
        <f t="shared" si="15"/>
        <v>1279492.1218810349</v>
      </c>
    </row>
    <row r="184" spans="1:6" x14ac:dyDescent="0.2">
      <c r="A184" s="26">
        <f t="shared" si="16"/>
        <v>113</v>
      </c>
      <c r="B184" s="22">
        <f t="shared" si="17"/>
        <v>1279492.1218810349</v>
      </c>
      <c r="C184" s="28">
        <f t="shared" si="18"/>
        <v>-9086.0030854224769</v>
      </c>
      <c r="D184" s="28">
        <f t="shared" si="13"/>
        <v>4124.9599514050024</v>
      </c>
      <c r="E184" s="28">
        <f t="shared" si="14"/>
        <v>-4961.0431340174746</v>
      </c>
      <c r="F184" s="23">
        <f t="shared" si="15"/>
        <v>1274531.0787470175</v>
      </c>
    </row>
    <row r="185" spans="1:6" x14ac:dyDescent="0.2">
      <c r="A185" s="26">
        <f t="shared" si="16"/>
        <v>114</v>
      </c>
      <c r="B185" s="22">
        <f t="shared" si="17"/>
        <v>1274531.0787470175</v>
      </c>
      <c r="C185" s="28">
        <f t="shared" si="18"/>
        <v>-9086.0030854224769</v>
      </c>
      <c r="D185" s="28">
        <f t="shared" si="13"/>
        <v>4108.9660238965398</v>
      </c>
      <c r="E185" s="28">
        <f t="shared" si="14"/>
        <v>-4977.0370615259371</v>
      </c>
      <c r="F185" s="23">
        <f t="shared" si="15"/>
        <v>1269554.0416854916</v>
      </c>
    </row>
    <row r="186" spans="1:6" x14ac:dyDescent="0.2">
      <c r="A186" s="26">
        <f t="shared" si="16"/>
        <v>115</v>
      </c>
      <c r="B186" s="22">
        <f t="shared" si="17"/>
        <v>1269554.0416854916</v>
      </c>
      <c r="C186" s="28">
        <f t="shared" si="18"/>
        <v>-9086.0030854224769</v>
      </c>
      <c r="D186" s="28">
        <f t="shared" si="13"/>
        <v>4092.9205334989347</v>
      </c>
      <c r="E186" s="28">
        <f t="shared" si="14"/>
        <v>-4993.0825519235423</v>
      </c>
      <c r="F186" s="23">
        <f t="shared" si="15"/>
        <v>1264560.959133568</v>
      </c>
    </row>
    <row r="187" spans="1:6" x14ac:dyDescent="0.2">
      <c r="A187" s="26">
        <f t="shared" si="16"/>
        <v>116</v>
      </c>
      <c r="B187" s="22">
        <f t="shared" si="17"/>
        <v>1264560.959133568</v>
      </c>
      <c r="C187" s="28">
        <f t="shared" si="18"/>
        <v>-9086.0030854224769</v>
      </c>
      <c r="D187" s="28">
        <f t="shared" si="13"/>
        <v>4076.8233139783765</v>
      </c>
      <c r="E187" s="28">
        <f t="shared" si="14"/>
        <v>-5009.1797714441</v>
      </c>
      <c r="F187" s="23">
        <f t="shared" si="15"/>
        <v>1259551.7793621239</v>
      </c>
    </row>
    <row r="188" spans="1:6" x14ac:dyDescent="0.2">
      <c r="A188" s="26">
        <f t="shared" si="16"/>
        <v>117</v>
      </c>
      <c r="B188" s="22">
        <f t="shared" si="17"/>
        <v>1259551.7793621239</v>
      </c>
      <c r="C188" s="28">
        <f t="shared" si="18"/>
        <v>-9086.0030854224769</v>
      </c>
      <c r="D188" s="28">
        <f t="shared" si="13"/>
        <v>4060.6741985651311</v>
      </c>
      <c r="E188" s="28">
        <f t="shared" si="14"/>
        <v>-5025.3288868573454</v>
      </c>
      <c r="F188" s="23">
        <f t="shared" si="15"/>
        <v>1254526.4504752667</v>
      </c>
    </row>
    <row r="189" spans="1:6" x14ac:dyDescent="0.2">
      <c r="A189" s="26">
        <f t="shared" si="16"/>
        <v>118</v>
      </c>
      <c r="B189" s="22">
        <f t="shared" si="17"/>
        <v>1254526.4504752667</v>
      </c>
      <c r="C189" s="28">
        <f t="shared" si="18"/>
        <v>-9086.0030854224769</v>
      </c>
      <c r="D189" s="28">
        <f t="shared" si="13"/>
        <v>4044.4730199518158</v>
      </c>
      <c r="E189" s="28">
        <f t="shared" si="14"/>
        <v>-5041.5300654706607</v>
      </c>
      <c r="F189" s="23">
        <f t="shared" si="15"/>
        <v>1249484.9204097961</v>
      </c>
    </row>
    <row r="190" spans="1:6" x14ac:dyDescent="0.2">
      <c r="A190" s="26">
        <f t="shared" si="16"/>
        <v>119</v>
      </c>
      <c r="B190" s="22">
        <f t="shared" si="17"/>
        <v>1249484.9204097961</v>
      </c>
      <c r="C190" s="28">
        <f t="shared" si="18"/>
        <v>-9086.0030854224769</v>
      </c>
      <c r="D190" s="28">
        <f t="shared" si="13"/>
        <v>4028.2196102916628</v>
      </c>
      <c r="E190" s="28">
        <f t="shared" si="14"/>
        <v>-5057.7834751308146</v>
      </c>
      <c r="F190" s="23">
        <f t="shared" si="15"/>
        <v>1244427.1369346653</v>
      </c>
    </row>
    <row r="191" spans="1:6" x14ac:dyDescent="0.2">
      <c r="A191" s="26">
        <f t="shared" si="16"/>
        <v>120</v>
      </c>
      <c r="B191" s="22">
        <f t="shared" si="17"/>
        <v>1244427.1369346653</v>
      </c>
      <c r="C191" s="28">
        <f t="shared" si="18"/>
        <v>-9086.0030854224769</v>
      </c>
      <c r="D191" s="28">
        <f t="shared" si="13"/>
        <v>4011.9138011967848</v>
      </c>
      <c r="E191" s="28">
        <f t="shared" si="14"/>
        <v>-5074.0892842256926</v>
      </c>
      <c r="F191" s="23">
        <f t="shared" si="15"/>
        <v>1239353.0476504397</v>
      </c>
    </row>
    <row r="192" spans="1:6" x14ac:dyDescent="0.2">
      <c r="A192" s="26">
        <f t="shared" si="16"/>
        <v>121</v>
      </c>
      <c r="B192" s="22">
        <f t="shared" si="17"/>
        <v>1239353.0476504397</v>
      </c>
      <c r="C192" s="28">
        <f t="shared" si="18"/>
        <v>-9086.0030854224769</v>
      </c>
      <c r="D192" s="28">
        <f t="shared" si="13"/>
        <v>3995.5554237364272</v>
      </c>
      <c r="E192" s="28">
        <f t="shared" si="14"/>
        <v>-5090.4476616860502</v>
      </c>
      <c r="F192" s="23">
        <f t="shared" si="15"/>
        <v>1234262.5999887537</v>
      </c>
    </row>
    <row r="193" spans="1:6" x14ac:dyDescent="0.2">
      <c r="A193" s="26">
        <f t="shared" si="16"/>
        <v>122</v>
      </c>
      <c r="B193" s="22">
        <f t="shared" si="17"/>
        <v>1234262.5999887537</v>
      </c>
      <c r="C193" s="28">
        <f t="shared" si="18"/>
        <v>-9086.0030854224769</v>
      </c>
      <c r="D193" s="28">
        <f t="shared" si="13"/>
        <v>3979.1443084352186</v>
      </c>
      <c r="E193" s="28">
        <f t="shared" si="14"/>
        <v>-5106.8587769872584</v>
      </c>
      <c r="F193" s="23">
        <f t="shared" si="15"/>
        <v>1229155.7412117664</v>
      </c>
    </row>
    <row r="194" spans="1:6" x14ac:dyDescent="0.2">
      <c r="A194" s="26">
        <f t="shared" si="16"/>
        <v>123</v>
      </c>
      <c r="B194" s="22">
        <f t="shared" si="17"/>
        <v>1229155.7412117664</v>
      </c>
      <c r="C194" s="28">
        <f t="shared" si="18"/>
        <v>-9086.0030854224769</v>
      </c>
      <c r="D194" s="28">
        <f t="shared" si="13"/>
        <v>3962.6802852714145</v>
      </c>
      <c r="E194" s="28">
        <f t="shared" si="14"/>
        <v>-5123.3228001510624</v>
      </c>
      <c r="F194" s="23">
        <f t="shared" si="15"/>
        <v>1224032.4184116153</v>
      </c>
    </row>
    <row r="195" spans="1:6" x14ac:dyDescent="0.2">
      <c r="A195" s="26">
        <f t="shared" si="16"/>
        <v>124</v>
      </c>
      <c r="B195" s="22">
        <f t="shared" si="17"/>
        <v>1224032.4184116153</v>
      </c>
      <c r="C195" s="28">
        <f t="shared" si="18"/>
        <v>-9086.0030854224769</v>
      </c>
      <c r="D195" s="28">
        <f t="shared" si="13"/>
        <v>3946.163183675139</v>
      </c>
      <c r="E195" s="28">
        <f t="shared" si="14"/>
        <v>-5139.8399017473384</v>
      </c>
      <c r="F195" s="23">
        <f t="shared" si="15"/>
        <v>1218892.5785098679</v>
      </c>
    </row>
    <row r="196" spans="1:6" x14ac:dyDescent="0.2">
      <c r="A196" s="26">
        <f t="shared" si="16"/>
        <v>125</v>
      </c>
      <c r="B196" s="22">
        <f t="shared" si="17"/>
        <v>1218892.5785098679</v>
      </c>
      <c r="C196" s="28">
        <f t="shared" si="18"/>
        <v>-9086.0030854224769</v>
      </c>
      <c r="D196" s="28">
        <f t="shared" si="13"/>
        <v>3929.5928325266132</v>
      </c>
      <c r="E196" s="28">
        <f t="shared" si="14"/>
        <v>-5156.4102528958638</v>
      </c>
      <c r="F196" s="23">
        <f t="shared" si="15"/>
        <v>1213736.168256972</v>
      </c>
    </row>
    <row r="197" spans="1:6" x14ac:dyDescent="0.2">
      <c r="A197" s="26">
        <f t="shared" si="16"/>
        <v>126</v>
      </c>
      <c r="B197" s="22">
        <f t="shared" si="17"/>
        <v>1213736.168256972</v>
      </c>
      <c r="C197" s="28">
        <f t="shared" si="18"/>
        <v>-9086.0030854224769</v>
      </c>
      <c r="D197" s="28">
        <f t="shared" si="13"/>
        <v>3912.9690601543848</v>
      </c>
      <c r="E197" s="28">
        <f t="shared" si="14"/>
        <v>-5173.0340252680926</v>
      </c>
      <c r="F197" s="23">
        <f t="shared" si="15"/>
        <v>1208563.1342317038</v>
      </c>
    </row>
    <row r="198" spans="1:6" x14ac:dyDescent="0.2">
      <c r="A198" s="26">
        <f t="shared" si="16"/>
        <v>127</v>
      </c>
      <c r="B198" s="22">
        <f t="shared" si="17"/>
        <v>1208563.1342317038</v>
      </c>
      <c r="C198" s="28">
        <f t="shared" si="18"/>
        <v>-9086.0030854224769</v>
      </c>
      <c r="D198" s="28">
        <f t="shared" si="13"/>
        <v>3896.2916943335495</v>
      </c>
      <c r="E198" s="28">
        <f t="shared" si="14"/>
        <v>-5189.7113910889275</v>
      </c>
      <c r="F198" s="23">
        <f t="shared" si="15"/>
        <v>1203373.4228406148</v>
      </c>
    </row>
    <row r="199" spans="1:6" x14ac:dyDescent="0.2">
      <c r="A199" s="26">
        <f t="shared" si="16"/>
        <v>128</v>
      </c>
      <c r="B199" s="22">
        <f t="shared" si="17"/>
        <v>1203373.4228406148</v>
      </c>
      <c r="C199" s="28">
        <f t="shared" si="18"/>
        <v>-9086.0030854224769</v>
      </c>
      <c r="D199" s="28">
        <f t="shared" si="13"/>
        <v>3879.5605622839666</v>
      </c>
      <c r="E199" s="28">
        <f t="shared" si="14"/>
        <v>-5206.4425231385103</v>
      </c>
      <c r="F199" s="23">
        <f t="shared" si="15"/>
        <v>1198166.9803174762</v>
      </c>
    </row>
    <row r="200" spans="1:6" x14ac:dyDescent="0.2">
      <c r="A200" s="26">
        <f t="shared" si="16"/>
        <v>129</v>
      </c>
      <c r="B200" s="22">
        <f t="shared" si="17"/>
        <v>1198166.9803174762</v>
      </c>
      <c r="C200" s="28">
        <f t="shared" si="18"/>
        <v>-9086.0030854224769</v>
      </c>
      <c r="D200" s="28">
        <f t="shared" ref="D200:D263" si="19">+B200*$B$14</f>
        <v>3862.7754906684686</v>
      </c>
      <c r="E200" s="28">
        <f t="shared" ref="E200:E263" si="20">+C200+D200</f>
        <v>-5223.2275947540084</v>
      </c>
      <c r="F200" s="23">
        <f t="shared" ref="F200:F263" si="21">+B200+E200</f>
        <v>1192943.7527227222</v>
      </c>
    </row>
    <row r="201" spans="1:6" x14ac:dyDescent="0.2">
      <c r="A201" s="26">
        <f t="shared" ref="A201:A264" si="22">1+A200</f>
        <v>130</v>
      </c>
      <c r="B201" s="22">
        <f t="shared" ref="B201:B264" si="23">F200</f>
        <v>1192943.7527227222</v>
      </c>
      <c r="C201" s="28">
        <f t="shared" ref="C201:C264" si="24">C200</f>
        <v>-9086.0030854224769</v>
      </c>
      <c r="D201" s="28">
        <f t="shared" si="19"/>
        <v>3845.9363055910658</v>
      </c>
      <c r="E201" s="28">
        <f t="shared" si="20"/>
        <v>-5240.0667798314116</v>
      </c>
      <c r="F201" s="23">
        <f t="shared" si="21"/>
        <v>1187703.6859428908</v>
      </c>
    </row>
    <row r="202" spans="1:6" x14ac:dyDescent="0.2">
      <c r="A202" s="26">
        <f t="shared" si="22"/>
        <v>131</v>
      </c>
      <c r="B202" s="22">
        <f t="shared" si="23"/>
        <v>1187703.6859428908</v>
      </c>
      <c r="C202" s="28">
        <f t="shared" si="24"/>
        <v>-9086.0030854224769</v>
      </c>
      <c r="D202" s="28">
        <f t="shared" si="19"/>
        <v>3829.0428325951439</v>
      </c>
      <c r="E202" s="28">
        <f t="shared" si="20"/>
        <v>-5256.9602528273335</v>
      </c>
      <c r="F202" s="23">
        <f t="shared" si="21"/>
        <v>1182446.7256900636</v>
      </c>
    </row>
    <row r="203" spans="1:6" x14ac:dyDescent="0.2">
      <c r="A203" s="26">
        <f t="shared" si="22"/>
        <v>132</v>
      </c>
      <c r="B203" s="22">
        <f t="shared" si="23"/>
        <v>1182446.7256900636</v>
      </c>
      <c r="C203" s="28">
        <f t="shared" si="24"/>
        <v>-9086.0030854224769</v>
      </c>
      <c r="D203" s="28">
        <f t="shared" si="19"/>
        <v>3812.0948966616575</v>
      </c>
      <c r="E203" s="28">
        <f t="shared" si="20"/>
        <v>-5273.908188760819</v>
      </c>
      <c r="F203" s="23">
        <f t="shared" si="21"/>
        <v>1177172.8175013028</v>
      </c>
    </row>
    <row r="204" spans="1:6" x14ac:dyDescent="0.2">
      <c r="A204" s="26">
        <f t="shared" si="22"/>
        <v>133</v>
      </c>
      <c r="B204" s="22">
        <f t="shared" si="23"/>
        <v>1177172.8175013028</v>
      </c>
      <c r="C204" s="28">
        <f t="shared" si="24"/>
        <v>-9086.0030854224769</v>
      </c>
      <c r="D204" s="28">
        <f t="shared" si="19"/>
        <v>3795.0923222073166</v>
      </c>
      <c r="E204" s="28">
        <f t="shared" si="20"/>
        <v>-5290.9107632151608</v>
      </c>
      <c r="F204" s="23">
        <f t="shared" si="21"/>
        <v>1171881.9067380875</v>
      </c>
    </row>
    <row r="205" spans="1:6" x14ac:dyDescent="0.2">
      <c r="A205" s="26">
        <f t="shared" si="22"/>
        <v>134</v>
      </c>
      <c r="B205" s="22">
        <f t="shared" si="23"/>
        <v>1171881.9067380875</v>
      </c>
      <c r="C205" s="28">
        <f t="shared" si="24"/>
        <v>-9086.0030854224769</v>
      </c>
      <c r="D205" s="28">
        <f t="shared" si="19"/>
        <v>3778.0349330827667</v>
      </c>
      <c r="E205" s="28">
        <f t="shared" si="20"/>
        <v>-5307.9681523397103</v>
      </c>
      <c r="F205" s="23">
        <f t="shared" si="21"/>
        <v>1166573.9385857477</v>
      </c>
    </row>
    <row r="206" spans="1:6" x14ac:dyDescent="0.2">
      <c r="A206" s="26">
        <f t="shared" si="22"/>
        <v>135</v>
      </c>
      <c r="B206" s="22">
        <f t="shared" si="23"/>
        <v>1166573.9385857477</v>
      </c>
      <c r="C206" s="28">
        <f t="shared" si="24"/>
        <v>-9086.0030854224769</v>
      </c>
      <c r="D206" s="28">
        <f t="shared" si="19"/>
        <v>3760.9225525707661</v>
      </c>
      <c r="E206" s="28">
        <f t="shared" si="20"/>
        <v>-5325.0805328517108</v>
      </c>
      <c r="F206" s="23">
        <f t="shared" si="21"/>
        <v>1161248.8580528961</v>
      </c>
    </row>
    <row r="207" spans="1:6" x14ac:dyDescent="0.2">
      <c r="A207" s="26">
        <f t="shared" si="22"/>
        <v>136</v>
      </c>
      <c r="B207" s="22">
        <f t="shared" si="23"/>
        <v>1161248.8580528961</v>
      </c>
      <c r="C207" s="28">
        <f t="shared" si="24"/>
        <v>-9086.0030854224769</v>
      </c>
      <c r="D207" s="28">
        <f t="shared" si="19"/>
        <v>3743.755003384354</v>
      </c>
      <c r="E207" s="28">
        <f t="shared" si="20"/>
        <v>-5342.2480820381224</v>
      </c>
      <c r="F207" s="23">
        <f t="shared" si="21"/>
        <v>1155906.6099708581</v>
      </c>
    </row>
    <row r="208" spans="1:6" x14ac:dyDescent="0.2">
      <c r="A208" s="26">
        <f t="shared" si="22"/>
        <v>137</v>
      </c>
      <c r="B208" s="22">
        <f t="shared" si="23"/>
        <v>1155906.6099708581</v>
      </c>
      <c r="C208" s="28">
        <f t="shared" si="24"/>
        <v>-9086.0030854224769</v>
      </c>
      <c r="D208" s="28">
        <f t="shared" si="19"/>
        <v>3726.5321076650121</v>
      </c>
      <c r="E208" s="28">
        <f t="shared" si="20"/>
        <v>-5359.4709777574644</v>
      </c>
      <c r="F208" s="23">
        <f t="shared" si="21"/>
        <v>1150547.1389931007</v>
      </c>
    </row>
    <row r="209" spans="1:6" x14ac:dyDescent="0.2">
      <c r="A209" s="26">
        <f t="shared" si="22"/>
        <v>138</v>
      </c>
      <c r="B209" s="22">
        <f t="shared" si="23"/>
        <v>1150547.1389931007</v>
      </c>
      <c r="C209" s="28">
        <f t="shared" si="24"/>
        <v>-9086.0030854224769</v>
      </c>
      <c r="D209" s="28">
        <f t="shared" si="19"/>
        <v>3709.2536869808227</v>
      </c>
      <c r="E209" s="28">
        <f t="shared" si="20"/>
        <v>-5376.7493984416542</v>
      </c>
      <c r="F209" s="23">
        <f t="shared" si="21"/>
        <v>1145170.389594659</v>
      </c>
    </row>
    <row r="210" spans="1:6" x14ac:dyDescent="0.2">
      <c r="A210" s="26">
        <f t="shared" si="22"/>
        <v>139</v>
      </c>
      <c r="B210" s="22">
        <f t="shared" si="23"/>
        <v>1145170.389594659</v>
      </c>
      <c r="C210" s="28">
        <f t="shared" si="24"/>
        <v>-9086.0030854224769</v>
      </c>
      <c r="D210" s="28">
        <f t="shared" si="19"/>
        <v>3691.9195623246214</v>
      </c>
      <c r="E210" s="28">
        <f t="shared" si="20"/>
        <v>-5394.0835230978555</v>
      </c>
      <c r="F210" s="23">
        <f t="shared" si="21"/>
        <v>1139776.3060715611</v>
      </c>
    </row>
    <row r="211" spans="1:6" x14ac:dyDescent="0.2">
      <c r="A211" s="26">
        <f t="shared" si="22"/>
        <v>140</v>
      </c>
      <c r="B211" s="22">
        <f t="shared" si="23"/>
        <v>1139776.3060715611</v>
      </c>
      <c r="C211" s="28">
        <f t="shared" si="24"/>
        <v>-9086.0030854224769</v>
      </c>
      <c r="D211" s="28">
        <f t="shared" si="19"/>
        <v>3674.5295541121432</v>
      </c>
      <c r="E211" s="28">
        <f t="shared" si="20"/>
        <v>-5411.4735313103338</v>
      </c>
      <c r="F211" s="23">
        <f t="shared" si="21"/>
        <v>1134364.8325402506</v>
      </c>
    </row>
    <row r="212" spans="1:6" x14ac:dyDescent="0.2">
      <c r="A212" s="26">
        <f t="shared" si="22"/>
        <v>141</v>
      </c>
      <c r="B212" s="22">
        <f t="shared" si="23"/>
        <v>1134364.8325402506</v>
      </c>
      <c r="C212" s="28">
        <f t="shared" si="24"/>
        <v>-9086.0030854224769</v>
      </c>
      <c r="D212" s="28">
        <f t="shared" si="19"/>
        <v>3657.0834821801591</v>
      </c>
      <c r="E212" s="28">
        <f t="shared" si="20"/>
        <v>-5428.9196032423179</v>
      </c>
      <c r="F212" s="23">
        <f t="shared" si="21"/>
        <v>1128935.9129370083</v>
      </c>
    </row>
    <row r="213" spans="1:6" x14ac:dyDescent="0.2">
      <c r="A213" s="26">
        <f t="shared" si="22"/>
        <v>142</v>
      </c>
      <c r="B213" s="22">
        <f t="shared" si="23"/>
        <v>1128935.9129370083</v>
      </c>
      <c r="C213" s="28">
        <f t="shared" si="24"/>
        <v>-9086.0030854224769</v>
      </c>
      <c r="D213" s="28">
        <f t="shared" si="19"/>
        <v>3639.5811657846116</v>
      </c>
      <c r="E213" s="28">
        <f t="shared" si="20"/>
        <v>-5446.4219196378654</v>
      </c>
      <c r="F213" s="23">
        <f t="shared" si="21"/>
        <v>1123489.4910173705</v>
      </c>
    </row>
    <row r="214" spans="1:6" x14ac:dyDescent="0.2">
      <c r="A214" s="26">
        <f t="shared" si="22"/>
        <v>143</v>
      </c>
      <c r="B214" s="22">
        <f t="shared" si="23"/>
        <v>1123489.4910173705</v>
      </c>
      <c r="C214" s="28">
        <f t="shared" si="24"/>
        <v>-9086.0030854224769</v>
      </c>
      <c r="D214" s="28">
        <f t="shared" si="19"/>
        <v>3622.0224235987421</v>
      </c>
      <c r="E214" s="28">
        <f t="shared" si="20"/>
        <v>-5463.9806618237344</v>
      </c>
      <c r="F214" s="23">
        <f t="shared" si="21"/>
        <v>1118025.5103555468</v>
      </c>
    </row>
    <row r="215" spans="1:6" x14ac:dyDescent="0.2">
      <c r="A215" s="26">
        <f t="shared" si="22"/>
        <v>144</v>
      </c>
      <c r="B215" s="22">
        <f t="shared" si="23"/>
        <v>1118025.5103555468</v>
      </c>
      <c r="C215" s="28">
        <f t="shared" si="24"/>
        <v>-9086.0030854224769</v>
      </c>
      <c r="D215" s="28">
        <f t="shared" si="19"/>
        <v>3604.4070737112111</v>
      </c>
      <c r="E215" s="28">
        <f t="shared" si="20"/>
        <v>-5481.5960117112663</v>
      </c>
      <c r="F215" s="23">
        <f t="shared" si="21"/>
        <v>1112543.9143438356</v>
      </c>
    </row>
    <row r="216" spans="1:6" x14ac:dyDescent="0.2">
      <c r="A216" s="26">
        <f t="shared" si="22"/>
        <v>145</v>
      </c>
      <c r="B216" s="22">
        <f t="shared" si="23"/>
        <v>1112543.9143438356</v>
      </c>
      <c r="C216" s="28">
        <f t="shared" si="24"/>
        <v>-9086.0030854224769</v>
      </c>
      <c r="D216" s="28">
        <f t="shared" si="19"/>
        <v>3586.7349336242141</v>
      </c>
      <c r="E216" s="28">
        <f t="shared" si="20"/>
        <v>-5499.2681517982628</v>
      </c>
      <c r="F216" s="23">
        <f t="shared" si="21"/>
        <v>1107044.6461920373</v>
      </c>
    </row>
    <row r="217" spans="1:6" x14ac:dyDescent="0.2">
      <c r="A217" s="26">
        <f t="shared" si="22"/>
        <v>146</v>
      </c>
      <c r="B217" s="22">
        <f t="shared" si="23"/>
        <v>1107044.6461920373</v>
      </c>
      <c r="C217" s="28">
        <f t="shared" si="24"/>
        <v>-9086.0030854224769</v>
      </c>
      <c r="D217" s="28">
        <f t="shared" si="19"/>
        <v>3569.0058202515925</v>
      </c>
      <c r="E217" s="28">
        <f t="shared" si="20"/>
        <v>-5516.9972651708849</v>
      </c>
      <c r="F217" s="23">
        <f t="shared" si="21"/>
        <v>1101527.6489268665</v>
      </c>
    </row>
    <row r="218" spans="1:6" x14ac:dyDescent="0.2">
      <c r="A218" s="26">
        <f t="shared" si="22"/>
        <v>147</v>
      </c>
      <c r="B218" s="22">
        <f t="shared" si="23"/>
        <v>1101527.6489268665</v>
      </c>
      <c r="C218" s="28">
        <f t="shared" si="24"/>
        <v>-9086.0030854224769</v>
      </c>
      <c r="D218" s="28">
        <f t="shared" si="19"/>
        <v>3551.2195499169352</v>
      </c>
      <c r="E218" s="28">
        <f t="shared" si="20"/>
        <v>-5534.7835355055413</v>
      </c>
      <c r="F218" s="23">
        <f t="shared" si="21"/>
        <v>1095992.8653913608</v>
      </c>
    </row>
    <row r="219" spans="1:6" x14ac:dyDescent="0.2">
      <c r="A219" s="26">
        <f t="shared" si="22"/>
        <v>148</v>
      </c>
      <c r="B219" s="22">
        <f t="shared" si="23"/>
        <v>1095992.8653913608</v>
      </c>
      <c r="C219" s="28">
        <f t="shared" si="24"/>
        <v>-9086.0030854224769</v>
      </c>
      <c r="D219" s="28">
        <f t="shared" si="19"/>
        <v>3533.3759383516744</v>
      </c>
      <c r="E219" s="28">
        <f t="shared" si="20"/>
        <v>-5552.6271470708025</v>
      </c>
      <c r="F219" s="23">
        <f t="shared" si="21"/>
        <v>1090440.23824429</v>
      </c>
    </row>
    <row r="220" spans="1:6" x14ac:dyDescent="0.2">
      <c r="A220" s="26">
        <f t="shared" si="22"/>
        <v>149</v>
      </c>
      <c r="B220" s="22">
        <f t="shared" si="23"/>
        <v>1090440.23824429</v>
      </c>
      <c r="C220" s="28">
        <f t="shared" si="24"/>
        <v>-9086.0030854224769</v>
      </c>
      <c r="D220" s="28">
        <f t="shared" si="19"/>
        <v>3515.47480069318</v>
      </c>
      <c r="E220" s="28">
        <f t="shared" si="20"/>
        <v>-5570.5282847292965</v>
      </c>
      <c r="F220" s="23">
        <f t="shared" si="21"/>
        <v>1084869.7099595608</v>
      </c>
    </row>
    <row r="221" spans="1:6" x14ac:dyDescent="0.2">
      <c r="A221" s="26">
        <f t="shared" si="22"/>
        <v>150</v>
      </c>
      <c r="B221" s="22">
        <f t="shared" si="23"/>
        <v>1084869.7099595608</v>
      </c>
      <c r="C221" s="28">
        <f t="shared" si="24"/>
        <v>-9086.0030854224769</v>
      </c>
      <c r="D221" s="28">
        <f t="shared" si="19"/>
        <v>3497.5159514828424</v>
      </c>
      <c r="E221" s="28">
        <f t="shared" si="20"/>
        <v>-5588.4871339396341</v>
      </c>
      <c r="F221" s="23">
        <f t="shared" si="21"/>
        <v>1079281.2228256213</v>
      </c>
    </row>
    <row r="222" spans="1:6" x14ac:dyDescent="0.2">
      <c r="A222" s="26">
        <f t="shared" si="22"/>
        <v>151</v>
      </c>
      <c r="B222" s="22">
        <f t="shared" si="23"/>
        <v>1079281.2228256213</v>
      </c>
      <c r="C222" s="28">
        <f t="shared" si="24"/>
        <v>-9086.0030854224769</v>
      </c>
      <c r="D222" s="28">
        <f t="shared" si="19"/>
        <v>3479.4992046641496</v>
      </c>
      <c r="E222" s="28">
        <f t="shared" si="20"/>
        <v>-5606.5038807583278</v>
      </c>
      <c r="F222" s="23">
        <f t="shared" si="21"/>
        <v>1073674.718944863</v>
      </c>
    </row>
    <row r="223" spans="1:6" x14ac:dyDescent="0.2">
      <c r="A223" s="26">
        <f t="shared" si="22"/>
        <v>152</v>
      </c>
      <c r="B223" s="22">
        <f t="shared" si="23"/>
        <v>1073674.718944863</v>
      </c>
      <c r="C223" s="28">
        <f t="shared" si="24"/>
        <v>-9086.0030854224769</v>
      </c>
      <c r="D223" s="28">
        <f t="shared" si="19"/>
        <v>3461.4243735807618</v>
      </c>
      <c r="E223" s="28">
        <f t="shared" si="20"/>
        <v>-5624.5787118417156</v>
      </c>
      <c r="F223" s="23">
        <f t="shared" si="21"/>
        <v>1068050.1402330212</v>
      </c>
    </row>
    <row r="224" spans="1:6" x14ac:dyDescent="0.2">
      <c r="A224" s="26">
        <f t="shared" si="22"/>
        <v>153</v>
      </c>
      <c r="B224" s="22">
        <f t="shared" si="23"/>
        <v>1068050.1402330212</v>
      </c>
      <c r="C224" s="28">
        <f t="shared" si="24"/>
        <v>-9086.0030854224769</v>
      </c>
      <c r="D224" s="28">
        <f t="shared" si="19"/>
        <v>3443.2912709745783</v>
      </c>
      <c r="E224" s="28">
        <f t="shared" si="20"/>
        <v>-5642.7118144478991</v>
      </c>
      <c r="F224" s="23">
        <f t="shared" si="21"/>
        <v>1062407.4284185732</v>
      </c>
    </row>
    <row r="225" spans="1:6" x14ac:dyDescent="0.2">
      <c r="A225" s="26">
        <f t="shared" si="22"/>
        <v>154</v>
      </c>
      <c r="B225" s="22">
        <f t="shared" si="23"/>
        <v>1062407.4284185732</v>
      </c>
      <c r="C225" s="28">
        <f t="shared" si="24"/>
        <v>-9086.0030854224769</v>
      </c>
      <c r="D225" s="28">
        <f t="shared" si="19"/>
        <v>3425.0997089837952</v>
      </c>
      <c r="E225" s="28">
        <f t="shared" si="20"/>
        <v>-5660.9033764386822</v>
      </c>
      <c r="F225" s="23">
        <f t="shared" si="21"/>
        <v>1056746.5250421346</v>
      </c>
    </row>
    <row r="226" spans="1:6" x14ac:dyDescent="0.2">
      <c r="A226" s="26">
        <f t="shared" si="22"/>
        <v>155</v>
      </c>
      <c r="B226" s="22">
        <f t="shared" si="23"/>
        <v>1056746.5250421346</v>
      </c>
      <c r="C226" s="28">
        <f t="shared" si="24"/>
        <v>-9086.0030854224769</v>
      </c>
      <c r="D226" s="28">
        <f t="shared" si="19"/>
        <v>3406.8494991409602</v>
      </c>
      <c r="E226" s="28">
        <f t="shared" si="20"/>
        <v>-5679.1535862815163</v>
      </c>
      <c r="F226" s="23">
        <f t="shared" si="21"/>
        <v>1051067.3714558531</v>
      </c>
    </row>
    <row r="227" spans="1:6" x14ac:dyDescent="0.2">
      <c r="A227" s="26">
        <f t="shared" si="22"/>
        <v>156</v>
      </c>
      <c r="B227" s="22">
        <f t="shared" si="23"/>
        <v>1051067.3714558531</v>
      </c>
      <c r="C227" s="28">
        <f t="shared" si="24"/>
        <v>-9086.0030854224769</v>
      </c>
      <c r="D227" s="28">
        <f t="shared" si="19"/>
        <v>3388.5404523710208</v>
      </c>
      <c r="E227" s="28">
        <f t="shared" si="20"/>
        <v>-5697.4626330514566</v>
      </c>
      <c r="F227" s="23">
        <f t="shared" si="21"/>
        <v>1045369.9088228017</v>
      </c>
    </row>
    <row r="228" spans="1:6" x14ac:dyDescent="0.2">
      <c r="A228" s="26">
        <f t="shared" si="22"/>
        <v>157</v>
      </c>
      <c r="B228" s="22">
        <f t="shared" si="23"/>
        <v>1045369.9088228017</v>
      </c>
      <c r="C228" s="28">
        <f t="shared" si="24"/>
        <v>-9086.0030854224769</v>
      </c>
      <c r="D228" s="28">
        <f t="shared" si="19"/>
        <v>3370.1723789893631</v>
      </c>
      <c r="E228" s="28">
        <f t="shared" si="20"/>
        <v>-5715.8307064331138</v>
      </c>
      <c r="F228" s="23">
        <f t="shared" si="21"/>
        <v>1039654.0781163685</v>
      </c>
    </row>
    <row r="229" spans="1:6" x14ac:dyDescent="0.2">
      <c r="A229" s="26">
        <f t="shared" si="22"/>
        <v>158</v>
      </c>
      <c r="B229" s="22">
        <f t="shared" si="23"/>
        <v>1039654.0781163685</v>
      </c>
      <c r="C229" s="28">
        <f t="shared" si="24"/>
        <v>-9086.0030854224769</v>
      </c>
      <c r="D229" s="28">
        <f t="shared" si="19"/>
        <v>3351.745088699849</v>
      </c>
      <c r="E229" s="28">
        <f t="shared" si="20"/>
        <v>-5734.2579967226284</v>
      </c>
      <c r="F229" s="23">
        <f t="shared" si="21"/>
        <v>1033919.8201196459</v>
      </c>
    </row>
    <row r="230" spans="1:6" x14ac:dyDescent="0.2">
      <c r="A230" s="26">
        <f t="shared" si="22"/>
        <v>159</v>
      </c>
      <c r="B230" s="22">
        <f t="shared" si="23"/>
        <v>1033919.8201196459</v>
      </c>
      <c r="C230" s="28">
        <f t="shared" si="24"/>
        <v>-9086.0030854224769</v>
      </c>
      <c r="D230" s="28">
        <f t="shared" si="19"/>
        <v>3333.2583905928454</v>
      </c>
      <c r="E230" s="28">
        <f t="shared" si="20"/>
        <v>-5752.744694829631</v>
      </c>
      <c r="F230" s="23">
        <f t="shared" si="21"/>
        <v>1028167.0754248162</v>
      </c>
    </row>
    <row r="231" spans="1:6" x14ac:dyDescent="0.2">
      <c r="A231" s="26">
        <f t="shared" si="22"/>
        <v>160</v>
      </c>
      <c r="B231" s="22">
        <f t="shared" si="23"/>
        <v>1028167.0754248162</v>
      </c>
      <c r="C231" s="28">
        <f t="shared" si="24"/>
        <v>-9086.0030854224769</v>
      </c>
      <c r="D231" s="28">
        <f t="shared" si="19"/>
        <v>3314.7120931432419</v>
      </c>
      <c r="E231" s="28">
        <f t="shared" si="20"/>
        <v>-5771.2909922792351</v>
      </c>
      <c r="F231" s="23">
        <f t="shared" si="21"/>
        <v>1022395.784432537</v>
      </c>
    </row>
    <row r="232" spans="1:6" x14ac:dyDescent="0.2">
      <c r="A232" s="26">
        <f t="shared" si="22"/>
        <v>161</v>
      </c>
      <c r="B232" s="22">
        <f t="shared" si="23"/>
        <v>1022395.784432537</v>
      </c>
      <c r="C232" s="28">
        <f t="shared" si="24"/>
        <v>-9086.0030854224769</v>
      </c>
      <c r="D232" s="28">
        <f t="shared" si="19"/>
        <v>3296.1060042084719</v>
      </c>
      <c r="E232" s="28">
        <f t="shared" si="20"/>
        <v>-5789.8970812140051</v>
      </c>
      <c r="F232" s="23">
        <f t="shared" si="21"/>
        <v>1016605.887351323</v>
      </c>
    </row>
    <row r="233" spans="1:6" x14ac:dyDescent="0.2">
      <c r="A233" s="26">
        <f t="shared" si="22"/>
        <v>162</v>
      </c>
      <c r="B233" s="22">
        <f t="shared" si="23"/>
        <v>1016605.887351323</v>
      </c>
      <c r="C233" s="28">
        <f t="shared" si="24"/>
        <v>-9086.0030854224769</v>
      </c>
      <c r="D233" s="28">
        <f t="shared" si="19"/>
        <v>3277.439931026518</v>
      </c>
      <c r="E233" s="28">
        <f t="shared" si="20"/>
        <v>-5808.5631543959589</v>
      </c>
      <c r="F233" s="23">
        <f t="shared" si="21"/>
        <v>1010797.3241969271</v>
      </c>
    </row>
    <row r="234" spans="1:6" x14ac:dyDescent="0.2">
      <c r="A234" s="26">
        <f t="shared" si="22"/>
        <v>163</v>
      </c>
      <c r="B234" s="22">
        <f t="shared" si="23"/>
        <v>1010797.3241969271</v>
      </c>
      <c r="C234" s="28">
        <f t="shared" si="24"/>
        <v>-9086.0030854224769</v>
      </c>
      <c r="D234" s="28">
        <f t="shared" si="19"/>
        <v>3258.7136802139185</v>
      </c>
      <c r="E234" s="28">
        <f t="shared" si="20"/>
        <v>-5827.2894052085585</v>
      </c>
      <c r="F234" s="23">
        <f t="shared" si="21"/>
        <v>1004970.0347917186</v>
      </c>
    </row>
    <row r="235" spans="1:6" x14ac:dyDescent="0.2">
      <c r="A235" s="26">
        <f t="shared" si="22"/>
        <v>164</v>
      </c>
      <c r="B235" s="22">
        <f t="shared" si="23"/>
        <v>1004970.0347917186</v>
      </c>
      <c r="C235" s="28">
        <f t="shared" si="24"/>
        <v>-9086.0030854224769</v>
      </c>
      <c r="D235" s="28">
        <f t="shared" si="19"/>
        <v>3239.9270577637594</v>
      </c>
      <c r="E235" s="28">
        <f t="shared" si="20"/>
        <v>-5846.0760276587171</v>
      </c>
      <c r="F235" s="23">
        <f t="shared" si="21"/>
        <v>999123.95876405982</v>
      </c>
    </row>
    <row r="236" spans="1:6" x14ac:dyDescent="0.2">
      <c r="A236" s="26">
        <f t="shared" si="22"/>
        <v>165</v>
      </c>
      <c r="B236" s="22">
        <f t="shared" si="23"/>
        <v>999123.95876405982</v>
      </c>
      <c r="C236" s="28">
        <f t="shared" si="24"/>
        <v>-9086.0030854224769</v>
      </c>
      <c r="D236" s="28">
        <f t="shared" si="19"/>
        <v>3221.0798690436686</v>
      </c>
      <c r="E236" s="28">
        <f t="shared" si="20"/>
        <v>-5864.9232163788083</v>
      </c>
      <c r="F236" s="23">
        <f t="shared" si="21"/>
        <v>993259.03554768104</v>
      </c>
    </row>
    <row r="237" spans="1:6" x14ac:dyDescent="0.2">
      <c r="A237" s="26">
        <f t="shared" si="22"/>
        <v>166</v>
      </c>
      <c r="B237" s="22">
        <f t="shared" si="23"/>
        <v>993259.03554768104</v>
      </c>
      <c r="C237" s="28">
        <f t="shared" si="24"/>
        <v>-9086.0030854224769</v>
      </c>
      <c r="D237" s="28">
        <f t="shared" si="19"/>
        <v>3202.1719187937979</v>
      </c>
      <c r="E237" s="28">
        <f t="shared" si="20"/>
        <v>-5883.8311666286791</v>
      </c>
      <c r="F237" s="23">
        <f t="shared" si="21"/>
        <v>987375.2043810524</v>
      </c>
    </row>
    <row r="238" spans="1:6" x14ac:dyDescent="0.2">
      <c r="A238" s="26">
        <f t="shared" si="22"/>
        <v>167</v>
      </c>
      <c r="B238" s="22">
        <f t="shared" si="23"/>
        <v>987375.2043810524</v>
      </c>
      <c r="C238" s="28">
        <f t="shared" si="24"/>
        <v>-9086.0030854224769</v>
      </c>
      <c r="D238" s="28">
        <f t="shared" si="19"/>
        <v>3183.2030111248</v>
      </c>
      <c r="E238" s="28">
        <f t="shared" si="20"/>
        <v>-5902.8000742976765</v>
      </c>
      <c r="F238" s="23">
        <f t="shared" si="21"/>
        <v>981472.4043067547</v>
      </c>
    </row>
    <row r="239" spans="1:6" x14ac:dyDescent="0.2">
      <c r="A239" s="26">
        <f t="shared" si="22"/>
        <v>168</v>
      </c>
      <c r="B239" s="22">
        <f t="shared" si="23"/>
        <v>981472.4043067547</v>
      </c>
      <c r="C239" s="28">
        <f t="shared" si="24"/>
        <v>-9086.0030854224769</v>
      </c>
      <c r="D239" s="28">
        <f t="shared" si="19"/>
        <v>3164.1729495157983</v>
      </c>
      <c r="E239" s="28">
        <f t="shared" si="20"/>
        <v>-5921.8301359066791</v>
      </c>
      <c r="F239" s="23">
        <f t="shared" si="21"/>
        <v>975550.57417084801</v>
      </c>
    </row>
    <row r="240" spans="1:6" x14ac:dyDescent="0.2">
      <c r="A240" s="26">
        <f t="shared" si="22"/>
        <v>169</v>
      </c>
      <c r="B240" s="22">
        <f t="shared" si="23"/>
        <v>975550.57417084801</v>
      </c>
      <c r="C240" s="28">
        <f t="shared" si="24"/>
        <v>-9086.0030854224769</v>
      </c>
      <c r="D240" s="28">
        <f t="shared" si="19"/>
        <v>3145.0815368123526</v>
      </c>
      <c r="E240" s="28">
        <f t="shared" si="20"/>
        <v>-5940.9215486101239</v>
      </c>
      <c r="F240" s="23">
        <f t="shared" si="21"/>
        <v>969609.65262223792</v>
      </c>
    </row>
    <row r="241" spans="1:6" x14ac:dyDescent="0.2">
      <c r="A241" s="26">
        <f t="shared" si="22"/>
        <v>170</v>
      </c>
      <c r="B241" s="22">
        <f t="shared" si="23"/>
        <v>969609.65262223792</v>
      </c>
      <c r="C241" s="28">
        <f t="shared" si="24"/>
        <v>-9086.0030854224769</v>
      </c>
      <c r="D241" s="28">
        <f t="shared" si="19"/>
        <v>3125.9285752244155</v>
      </c>
      <c r="E241" s="28">
        <f t="shared" si="20"/>
        <v>-5960.074510198061</v>
      </c>
      <c r="F241" s="23">
        <f t="shared" si="21"/>
        <v>963649.57811203983</v>
      </c>
    </row>
    <row r="242" spans="1:6" x14ac:dyDescent="0.2">
      <c r="A242" s="26">
        <f t="shared" si="22"/>
        <v>171</v>
      </c>
      <c r="B242" s="22">
        <f t="shared" si="23"/>
        <v>963649.57811203983</v>
      </c>
      <c r="C242" s="28">
        <f t="shared" si="24"/>
        <v>-9086.0030854224769</v>
      </c>
      <c r="D242" s="28">
        <f t="shared" si="19"/>
        <v>3106.7138663242831</v>
      </c>
      <c r="E242" s="28">
        <f t="shared" si="20"/>
        <v>-5979.2892190981938</v>
      </c>
      <c r="F242" s="23">
        <f t="shared" si="21"/>
        <v>957670.28889294167</v>
      </c>
    </row>
    <row r="243" spans="1:6" x14ac:dyDescent="0.2">
      <c r="A243" s="26">
        <f t="shared" si="22"/>
        <v>172</v>
      </c>
      <c r="B243" s="22">
        <f t="shared" si="23"/>
        <v>957670.28889294167</v>
      </c>
      <c r="C243" s="28">
        <f t="shared" si="24"/>
        <v>-9086.0030854224769</v>
      </c>
      <c r="D243" s="28">
        <f t="shared" si="19"/>
        <v>3087.4372110445397</v>
      </c>
      <c r="E243" s="28">
        <f t="shared" si="20"/>
        <v>-5998.5658743779368</v>
      </c>
      <c r="F243" s="23">
        <f t="shared" si="21"/>
        <v>951671.7230185637</v>
      </c>
    </row>
    <row r="244" spans="1:6" x14ac:dyDescent="0.2">
      <c r="A244" s="26">
        <f t="shared" si="22"/>
        <v>173</v>
      </c>
      <c r="B244" s="22">
        <f t="shared" si="23"/>
        <v>951671.7230185637</v>
      </c>
      <c r="C244" s="28">
        <f t="shared" si="24"/>
        <v>-9086.0030854224769</v>
      </c>
      <c r="D244" s="28">
        <f t="shared" si="19"/>
        <v>3068.0984096759962</v>
      </c>
      <c r="E244" s="28">
        <f t="shared" si="20"/>
        <v>-6017.9046757464803</v>
      </c>
      <c r="F244" s="23">
        <f t="shared" si="21"/>
        <v>945653.81834281725</v>
      </c>
    </row>
    <row r="245" spans="1:6" x14ac:dyDescent="0.2">
      <c r="A245" s="26">
        <f t="shared" si="22"/>
        <v>174</v>
      </c>
      <c r="B245" s="22">
        <f t="shared" si="23"/>
        <v>945653.81834281725</v>
      </c>
      <c r="C245" s="28">
        <f t="shared" si="24"/>
        <v>-9086.0030854224769</v>
      </c>
      <c r="D245" s="28">
        <f t="shared" si="19"/>
        <v>3048.6972618656191</v>
      </c>
      <c r="E245" s="28">
        <f t="shared" si="20"/>
        <v>-6037.3058235568578</v>
      </c>
      <c r="F245" s="23">
        <f t="shared" si="21"/>
        <v>939616.5125192604</v>
      </c>
    </row>
    <row r="246" spans="1:6" x14ac:dyDescent="0.2">
      <c r="A246" s="26">
        <f t="shared" si="22"/>
        <v>175</v>
      </c>
      <c r="B246" s="22">
        <f t="shared" si="23"/>
        <v>939616.5125192604</v>
      </c>
      <c r="C246" s="28">
        <f t="shared" si="24"/>
        <v>-9086.0030854224769</v>
      </c>
      <c r="D246" s="28">
        <f t="shared" si="19"/>
        <v>3029.2335666144563</v>
      </c>
      <c r="E246" s="28">
        <f t="shared" si="20"/>
        <v>-6056.7695188080206</v>
      </c>
      <c r="F246" s="23">
        <f t="shared" si="21"/>
        <v>933559.74300045241</v>
      </c>
    </row>
    <row r="247" spans="1:6" x14ac:dyDescent="0.2">
      <c r="A247" s="26">
        <f t="shared" si="22"/>
        <v>176</v>
      </c>
      <c r="B247" s="22">
        <f t="shared" si="23"/>
        <v>933559.74300045241</v>
      </c>
      <c r="C247" s="28">
        <f t="shared" si="24"/>
        <v>-9086.0030854224769</v>
      </c>
      <c r="D247" s="28">
        <f t="shared" si="19"/>
        <v>3009.7071222755544</v>
      </c>
      <c r="E247" s="28">
        <f t="shared" si="20"/>
        <v>-6076.2959631469221</v>
      </c>
      <c r="F247" s="23">
        <f t="shared" si="21"/>
        <v>927483.44703730545</v>
      </c>
    </row>
    <row r="248" spans="1:6" x14ac:dyDescent="0.2">
      <c r="A248" s="26">
        <f t="shared" si="22"/>
        <v>177</v>
      </c>
      <c r="B248" s="22">
        <f t="shared" si="23"/>
        <v>927483.44703730545</v>
      </c>
      <c r="C248" s="28">
        <f t="shared" si="24"/>
        <v>-9086.0030854224769</v>
      </c>
      <c r="D248" s="28">
        <f t="shared" si="19"/>
        <v>2990.1177265518691</v>
      </c>
      <c r="E248" s="28">
        <f t="shared" si="20"/>
        <v>-6095.8853588706079</v>
      </c>
      <c r="F248" s="23">
        <f t="shared" si="21"/>
        <v>921387.56167843484</v>
      </c>
    </row>
    <row r="249" spans="1:6" x14ac:dyDescent="0.2">
      <c r="A249" s="26">
        <f t="shared" si="22"/>
        <v>178</v>
      </c>
      <c r="B249" s="22">
        <f t="shared" si="23"/>
        <v>921387.56167843484</v>
      </c>
      <c r="C249" s="28">
        <f t="shared" si="24"/>
        <v>-9086.0030854224769</v>
      </c>
      <c r="D249" s="28">
        <f t="shared" si="19"/>
        <v>2970.4651764941714</v>
      </c>
      <c r="E249" s="28">
        <f t="shared" si="20"/>
        <v>-6115.5379089283051</v>
      </c>
      <c r="F249" s="23">
        <f t="shared" si="21"/>
        <v>915272.02376950649</v>
      </c>
    </row>
    <row r="250" spans="1:6" x14ac:dyDescent="0.2">
      <c r="A250" s="26">
        <f t="shared" si="22"/>
        <v>179</v>
      </c>
      <c r="B250" s="22">
        <f t="shared" si="23"/>
        <v>915272.02376950649</v>
      </c>
      <c r="C250" s="28">
        <f t="shared" si="24"/>
        <v>-9086.0030854224769</v>
      </c>
      <c r="D250" s="28">
        <f t="shared" si="19"/>
        <v>2950.7492684989406</v>
      </c>
      <c r="E250" s="28">
        <f t="shared" si="20"/>
        <v>-6135.2538169235359</v>
      </c>
      <c r="F250" s="23">
        <f t="shared" si="21"/>
        <v>909136.76995258289</v>
      </c>
    </row>
    <row r="251" spans="1:6" x14ac:dyDescent="0.2">
      <c r="A251" s="26">
        <f t="shared" si="22"/>
        <v>180</v>
      </c>
      <c r="B251" s="22">
        <f t="shared" si="23"/>
        <v>909136.76995258289</v>
      </c>
      <c r="C251" s="28">
        <f t="shared" si="24"/>
        <v>-9086.0030854224769</v>
      </c>
      <c r="D251" s="28">
        <f t="shared" si="19"/>
        <v>2930.9697983062611</v>
      </c>
      <c r="E251" s="28">
        <f t="shared" si="20"/>
        <v>-6155.0332871162154</v>
      </c>
      <c r="F251" s="23">
        <f t="shared" si="21"/>
        <v>902981.73666546668</v>
      </c>
    </row>
    <row r="252" spans="1:6" x14ac:dyDescent="0.2">
      <c r="A252" s="26">
        <f t="shared" si="22"/>
        <v>181</v>
      </c>
      <c r="B252" s="22">
        <f t="shared" si="23"/>
        <v>902981.73666546668</v>
      </c>
      <c r="C252" s="28">
        <f t="shared" si="24"/>
        <v>-9086.0030854224769</v>
      </c>
      <c r="D252" s="28">
        <f t="shared" si="19"/>
        <v>2911.1265609977004</v>
      </c>
      <c r="E252" s="28">
        <f t="shared" si="20"/>
        <v>-6174.876524424777</v>
      </c>
      <c r="F252" s="23">
        <f t="shared" si="21"/>
        <v>896806.86014104192</v>
      </c>
    </row>
    <row r="253" spans="1:6" x14ac:dyDescent="0.2">
      <c r="A253" s="26">
        <f t="shared" si="22"/>
        <v>182</v>
      </c>
      <c r="B253" s="22">
        <f t="shared" si="23"/>
        <v>896806.86014104192</v>
      </c>
      <c r="C253" s="28">
        <f t="shared" si="24"/>
        <v>-9086.0030854224769</v>
      </c>
      <c r="D253" s="28">
        <f t="shared" si="19"/>
        <v>2891.2193509941899</v>
      </c>
      <c r="E253" s="28">
        <f t="shared" si="20"/>
        <v>-6194.7837344282871</v>
      </c>
      <c r="F253" s="23">
        <f t="shared" si="21"/>
        <v>890612.07640661369</v>
      </c>
    </row>
    <row r="254" spans="1:6" x14ac:dyDescent="0.2">
      <c r="A254" s="26">
        <f t="shared" si="22"/>
        <v>183</v>
      </c>
      <c r="B254" s="22">
        <f t="shared" si="23"/>
        <v>890612.07640661369</v>
      </c>
      <c r="C254" s="28">
        <f t="shared" si="24"/>
        <v>-9086.0030854224769</v>
      </c>
      <c r="D254" s="28">
        <f t="shared" si="19"/>
        <v>2871.2479620538934</v>
      </c>
      <c r="E254" s="28">
        <f t="shared" si="20"/>
        <v>-6214.7551233685836</v>
      </c>
      <c r="F254" s="23">
        <f t="shared" si="21"/>
        <v>884397.32128324511</v>
      </c>
    </row>
    <row r="255" spans="1:6" x14ac:dyDescent="0.2">
      <c r="A255" s="26">
        <f t="shared" si="22"/>
        <v>184</v>
      </c>
      <c r="B255" s="22">
        <f t="shared" si="23"/>
        <v>884397.32128324511</v>
      </c>
      <c r="C255" s="28">
        <f t="shared" si="24"/>
        <v>-9086.0030854224769</v>
      </c>
      <c r="D255" s="28">
        <f t="shared" si="19"/>
        <v>2851.21218727007</v>
      </c>
      <c r="E255" s="28">
        <f t="shared" si="20"/>
        <v>-6234.790898152407</v>
      </c>
      <c r="F255" s="23">
        <f t="shared" si="21"/>
        <v>878162.53038509272</v>
      </c>
    </row>
    <row r="256" spans="1:6" x14ac:dyDescent="0.2">
      <c r="A256" s="26">
        <f t="shared" si="22"/>
        <v>185</v>
      </c>
      <c r="B256" s="22">
        <f t="shared" si="23"/>
        <v>878162.53038509272</v>
      </c>
      <c r="C256" s="28">
        <f t="shared" si="24"/>
        <v>-9086.0030854224769</v>
      </c>
      <c r="D256" s="28">
        <f t="shared" si="19"/>
        <v>2831.1118190689331</v>
      </c>
      <c r="E256" s="28">
        <f t="shared" si="20"/>
        <v>-6254.8912663535439</v>
      </c>
      <c r="F256" s="23">
        <f t="shared" si="21"/>
        <v>871907.63911873917</v>
      </c>
    </row>
    <row r="257" spans="1:6" x14ac:dyDescent="0.2">
      <c r="A257" s="26">
        <f t="shared" si="22"/>
        <v>186</v>
      </c>
      <c r="B257" s="22">
        <f t="shared" si="23"/>
        <v>871907.63911873917</v>
      </c>
      <c r="C257" s="28">
        <f t="shared" si="24"/>
        <v>-9086.0030854224769</v>
      </c>
      <c r="D257" s="28">
        <f t="shared" si="19"/>
        <v>2810.9466492074962</v>
      </c>
      <c r="E257" s="28">
        <f t="shared" si="20"/>
        <v>-6275.0564362149807</v>
      </c>
      <c r="F257" s="23">
        <f t="shared" si="21"/>
        <v>865632.58268252423</v>
      </c>
    </row>
    <row r="258" spans="1:6" x14ac:dyDescent="0.2">
      <c r="A258" s="26">
        <f t="shared" si="22"/>
        <v>187</v>
      </c>
      <c r="B258" s="22">
        <f t="shared" si="23"/>
        <v>865632.58268252423</v>
      </c>
      <c r="C258" s="28">
        <f t="shared" si="24"/>
        <v>-9086.0030854224769</v>
      </c>
      <c r="D258" s="28">
        <f t="shared" si="19"/>
        <v>2790.7164687714189</v>
      </c>
      <c r="E258" s="28">
        <f t="shared" si="20"/>
        <v>-6295.2866166510576</v>
      </c>
      <c r="F258" s="23">
        <f t="shared" si="21"/>
        <v>859337.29606587312</v>
      </c>
    </row>
    <row r="259" spans="1:6" x14ac:dyDescent="0.2">
      <c r="A259" s="26">
        <f t="shared" si="22"/>
        <v>188</v>
      </c>
      <c r="B259" s="22">
        <f t="shared" si="23"/>
        <v>859337.29606587312</v>
      </c>
      <c r="C259" s="28">
        <f t="shared" si="24"/>
        <v>-9086.0030854224769</v>
      </c>
      <c r="D259" s="28">
        <f t="shared" si="19"/>
        <v>2770.4210681728396</v>
      </c>
      <c r="E259" s="28">
        <f t="shared" si="20"/>
        <v>-6315.5820172496369</v>
      </c>
      <c r="F259" s="23">
        <f t="shared" si="21"/>
        <v>853021.71404862346</v>
      </c>
    </row>
    <row r="260" spans="1:6" x14ac:dyDescent="0.2">
      <c r="A260" s="26">
        <f t="shared" si="22"/>
        <v>189</v>
      </c>
      <c r="B260" s="22">
        <f t="shared" si="23"/>
        <v>853021.71404862346</v>
      </c>
      <c r="C260" s="28">
        <f t="shared" si="24"/>
        <v>-9086.0030854224769</v>
      </c>
      <c r="D260" s="28">
        <f t="shared" si="19"/>
        <v>2750.0602371482069</v>
      </c>
      <c r="E260" s="28">
        <f t="shared" si="20"/>
        <v>-6335.9428482742696</v>
      </c>
      <c r="F260" s="23">
        <f t="shared" si="21"/>
        <v>846685.77120034921</v>
      </c>
    </row>
    <row r="261" spans="1:6" x14ac:dyDescent="0.2">
      <c r="A261" s="26">
        <f t="shared" si="22"/>
        <v>190</v>
      </c>
      <c r="B261" s="22">
        <f t="shared" si="23"/>
        <v>846685.77120034921</v>
      </c>
      <c r="C261" s="28">
        <f t="shared" si="24"/>
        <v>-9086.0030854224769</v>
      </c>
      <c r="D261" s="28">
        <f t="shared" si="19"/>
        <v>2729.6337647560995</v>
      </c>
      <c r="E261" s="28">
        <f t="shared" si="20"/>
        <v>-6356.3693206663775</v>
      </c>
      <c r="F261" s="23">
        <f t="shared" si="21"/>
        <v>840329.40187968279</v>
      </c>
    </row>
    <row r="262" spans="1:6" x14ac:dyDescent="0.2">
      <c r="A262" s="26">
        <f t="shared" si="22"/>
        <v>191</v>
      </c>
      <c r="B262" s="22">
        <f t="shared" si="23"/>
        <v>840329.40187968279</v>
      </c>
      <c r="C262" s="28">
        <f t="shared" si="24"/>
        <v>-9086.0030854224769</v>
      </c>
      <c r="D262" s="28">
        <f t="shared" si="19"/>
        <v>2709.1414393750397</v>
      </c>
      <c r="E262" s="28">
        <f t="shared" si="20"/>
        <v>-6376.8616460474368</v>
      </c>
      <c r="F262" s="23">
        <f t="shared" si="21"/>
        <v>833952.54023363534</v>
      </c>
    </row>
    <row r="263" spans="1:6" x14ac:dyDescent="0.2">
      <c r="A263" s="26">
        <f t="shared" si="22"/>
        <v>192</v>
      </c>
      <c r="B263" s="22">
        <f t="shared" si="23"/>
        <v>833952.54023363534</v>
      </c>
      <c r="C263" s="28">
        <f t="shared" si="24"/>
        <v>-9086.0030854224769</v>
      </c>
      <c r="D263" s="28">
        <f t="shared" si="19"/>
        <v>2688.583048701305</v>
      </c>
      <c r="E263" s="28">
        <f t="shared" si="20"/>
        <v>-6397.4200367211724</v>
      </c>
      <c r="F263" s="23">
        <f t="shared" si="21"/>
        <v>827555.12019691418</v>
      </c>
    </row>
    <row r="264" spans="1:6" x14ac:dyDescent="0.2">
      <c r="A264" s="26">
        <f t="shared" si="22"/>
        <v>193</v>
      </c>
      <c r="B264" s="22">
        <f t="shared" si="23"/>
        <v>827555.12019691418</v>
      </c>
      <c r="C264" s="28">
        <f t="shared" si="24"/>
        <v>-9086.0030854224769</v>
      </c>
      <c r="D264" s="28">
        <f t="shared" ref="D264:D327" si="25">+B264*$B$14</f>
        <v>2667.9583797467239</v>
      </c>
      <c r="E264" s="28">
        <f t="shared" ref="E264:E327" si="26">+C264+D264</f>
        <v>-6418.044705675753</v>
      </c>
      <c r="F264" s="23">
        <f t="shared" ref="F264:F327" si="27">+B264+E264</f>
        <v>821137.07549123839</v>
      </c>
    </row>
    <row r="265" spans="1:6" x14ac:dyDescent="0.2">
      <c r="A265" s="26">
        <f t="shared" ref="A265:A328" si="28">1+A264</f>
        <v>194</v>
      </c>
      <c r="B265" s="22">
        <f t="shared" ref="B265:B328" si="29">F264</f>
        <v>821137.07549123839</v>
      </c>
      <c r="C265" s="28">
        <f t="shared" ref="C265:C328" si="30">C264</f>
        <v>-9086.0030854224769</v>
      </c>
      <c r="D265" s="28">
        <f t="shared" si="25"/>
        <v>2647.2672188364727</v>
      </c>
      <c r="E265" s="28">
        <f t="shared" si="26"/>
        <v>-6438.7358665860047</v>
      </c>
      <c r="F265" s="23">
        <f t="shared" si="27"/>
        <v>814698.33962465241</v>
      </c>
    </row>
    <row r="266" spans="1:6" x14ac:dyDescent="0.2">
      <c r="A266" s="26">
        <f t="shared" si="28"/>
        <v>195</v>
      </c>
      <c r="B266" s="22">
        <f t="shared" si="29"/>
        <v>814698.33962465241</v>
      </c>
      <c r="C266" s="28">
        <f t="shared" si="30"/>
        <v>-9086.0030854224769</v>
      </c>
      <c r="D266" s="28">
        <f t="shared" si="25"/>
        <v>2626.5093516068596</v>
      </c>
      <c r="E266" s="28">
        <f t="shared" si="26"/>
        <v>-6459.4937338156178</v>
      </c>
      <c r="F266" s="23">
        <f t="shared" si="27"/>
        <v>808238.84589083679</v>
      </c>
    </row>
    <row r="267" spans="1:6" x14ac:dyDescent="0.2">
      <c r="A267" s="26">
        <f t="shared" si="28"/>
        <v>196</v>
      </c>
      <c r="B267" s="22">
        <f t="shared" si="29"/>
        <v>808238.84589083679</v>
      </c>
      <c r="C267" s="28">
        <f t="shared" si="30"/>
        <v>-9086.0030854224769</v>
      </c>
      <c r="D267" s="28">
        <f t="shared" si="25"/>
        <v>2605.6845630031057</v>
      </c>
      <c r="E267" s="28">
        <f t="shared" si="26"/>
        <v>-6480.3185224193712</v>
      </c>
      <c r="F267" s="23">
        <f t="shared" si="27"/>
        <v>801758.52736841748</v>
      </c>
    </row>
    <row r="268" spans="1:6" x14ac:dyDescent="0.2">
      <c r="A268" s="26">
        <f t="shared" si="28"/>
        <v>197</v>
      </c>
      <c r="B268" s="22">
        <f t="shared" si="29"/>
        <v>801758.52736841748</v>
      </c>
      <c r="C268" s="28">
        <f t="shared" si="30"/>
        <v>-9086.0030854224769</v>
      </c>
      <c r="D268" s="28">
        <f t="shared" si="25"/>
        <v>2584.7926372771162</v>
      </c>
      <c r="E268" s="28">
        <f t="shared" si="26"/>
        <v>-6501.2104481453607</v>
      </c>
      <c r="F268" s="23">
        <f t="shared" si="27"/>
        <v>795257.31692027207</v>
      </c>
    </row>
    <row r="269" spans="1:6" x14ac:dyDescent="0.2">
      <c r="A269" s="26">
        <f t="shared" si="28"/>
        <v>198</v>
      </c>
      <c r="B269" s="22">
        <f t="shared" si="29"/>
        <v>795257.31692027207</v>
      </c>
      <c r="C269" s="28">
        <f t="shared" si="30"/>
        <v>-9086.0030854224769</v>
      </c>
      <c r="D269" s="28">
        <f t="shared" si="25"/>
        <v>2563.8333579852433</v>
      </c>
      <c r="E269" s="28">
        <f t="shared" si="26"/>
        <v>-6522.1697274372336</v>
      </c>
      <c r="F269" s="23">
        <f t="shared" si="27"/>
        <v>788735.14719283488</v>
      </c>
    </row>
    <row r="270" spans="1:6" x14ac:dyDescent="0.2">
      <c r="A270" s="26">
        <f t="shared" si="28"/>
        <v>199</v>
      </c>
      <c r="B270" s="22">
        <f t="shared" si="29"/>
        <v>788735.14719283488</v>
      </c>
      <c r="C270" s="28">
        <f t="shared" si="30"/>
        <v>-9086.0030854224769</v>
      </c>
      <c r="D270" s="28">
        <f t="shared" si="25"/>
        <v>2542.806507986048</v>
      </c>
      <c r="E270" s="28">
        <f t="shared" si="26"/>
        <v>-6543.1965774364289</v>
      </c>
      <c r="F270" s="23">
        <f t="shared" si="27"/>
        <v>782191.95061539847</v>
      </c>
    </row>
    <row r="271" spans="1:6" x14ac:dyDescent="0.2">
      <c r="A271" s="26">
        <f t="shared" si="28"/>
        <v>200</v>
      </c>
      <c r="B271" s="22">
        <f t="shared" si="29"/>
        <v>782191.95061539847</v>
      </c>
      <c r="C271" s="28">
        <f t="shared" si="30"/>
        <v>-9086.0030854224769</v>
      </c>
      <c r="D271" s="28">
        <f t="shared" si="25"/>
        <v>2521.711869438047</v>
      </c>
      <c r="E271" s="28">
        <f t="shared" si="26"/>
        <v>-6564.29121598443</v>
      </c>
      <c r="F271" s="23">
        <f t="shared" si="27"/>
        <v>775627.65939941409</v>
      </c>
    </row>
    <row r="272" spans="1:6" x14ac:dyDescent="0.2">
      <c r="A272" s="26">
        <f t="shared" si="28"/>
        <v>201</v>
      </c>
      <c r="B272" s="22">
        <f t="shared" si="29"/>
        <v>775627.65939941409</v>
      </c>
      <c r="C272" s="28">
        <f t="shared" si="30"/>
        <v>-9086.0030854224769</v>
      </c>
      <c r="D272" s="28">
        <f t="shared" si="25"/>
        <v>2500.5492237974568</v>
      </c>
      <c r="E272" s="28">
        <f t="shared" si="26"/>
        <v>-6585.4538616250202</v>
      </c>
      <c r="F272" s="23">
        <f t="shared" si="27"/>
        <v>769042.20553778904</v>
      </c>
    </row>
    <row r="273" spans="1:6" x14ac:dyDescent="0.2">
      <c r="A273" s="26">
        <f t="shared" si="28"/>
        <v>202</v>
      </c>
      <c r="B273" s="22">
        <f t="shared" si="29"/>
        <v>769042.20553778904</v>
      </c>
      <c r="C273" s="28">
        <f t="shared" si="30"/>
        <v>-9086.0030854224769</v>
      </c>
      <c r="D273" s="28">
        <f t="shared" si="25"/>
        <v>2479.3183518159294</v>
      </c>
      <c r="E273" s="28">
        <f t="shared" si="26"/>
        <v>-6606.6847336065475</v>
      </c>
      <c r="F273" s="23">
        <f t="shared" si="27"/>
        <v>762435.52080418251</v>
      </c>
    </row>
    <row r="274" spans="1:6" x14ac:dyDescent="0.2">
      <c r="A274" s="26">
        <f t="shared" si="28"/>
        <v>203</v>
      </c>
      <c r="B274" s="22">
        <f t="shared" si="29"/>
        <v>762435.52080418251</v>
      </c>
      <c r="C274" s="28">
        <f t="shared" si="30"/>
        <v>-9086.0030854224769</v>
      </c>
      <c r="D274" s="28">
        <f t="shared" si="25"/>
        <v>2458.0190335382827</v>
      </c>
      <c r="E274" s="28">
        <f t="shared" si="26"/>
        <v>-6627.9840518841938</v>
      </c>
      <c r="F274" s="23">
        <f t="shared" si="27"/>
        <v>755807.53675229836</v>
      </c>
    </row>
    <row r="275" spans="1:6" x14ac:dyDescent="0.2">
      <c r="A275" s="26">
        <f t="shared" si="28"/>
        <v>204</v>
      </c>
      <c r="B275" s="22">
        <f t="shared" si="29"/>
        <v>755807.53675229836</v>
      </c>
      <c r="C275" s="28">
        <f t="shared" si="30"/>
        <v>-9086.0030854224769</v>
      </c>
      <c r="D275" s="28">
        <f t="shared" si="25"/>
        <v>2436.6510483002189</v>
      </c>
      <c r="E275" s="28">
        <f t="shared" si="26"/>
        <v>-6649.3520371222585</v>
      </c>
      <c r="F275" s="23">
        <f t="shared" si="27"/>
        <v>749158.18471517612</v>
      </c>
    </row>
    <row r="276" spans="1:6" x14ac:dyDescent="0.2">
      <c r="A276" s="26">
        <f t="shared" si="28"/>
        <v>205</v>
      </c>
      <c r="B276" s="22">
        <f t="shared" si="29"/>
        <v>749158.18471517612</v>
      </c>
      <c r="C276" s="28">
        <f t="shared" si="30"/>
        <v>-9086.0030854224769</v>
      </c>
      <c r="D276" s="28">
        <f t="shared" si="25"/>
        <v>2415.2141747260393</v>
      </c>
      <c r="E276" s="28">
        <f t="shared" si="26"/>
        <v>-6670.7889106964376</v>
      </c>
      <c r="F276" s="23">
        <f t="shared" si="27"/>
        <v>742487.39580447972</v>
      </c>
    </row>
    <row r="277" spans="1:6" x14ac:dyDescent="0.2">
      <c r="A277" s="26">
        <f t="shared" si="28"/>
        <v>206</v>
      </c>
      <c r="B277" s="22">
        <f t="shared" si="29"/>
        <v>742487.39580447972</v>
      </c>
      <c r="C277" s="28">
        <f t="shared" si="30"/>
        <v>-9086.0030854224769</v>
      </c>
      <c r="D277" s="28">
        <f t="shared" si="25"/>
        <v>2393.7081907263519</v>
      </c>
      <c r="E277" s="28">
        <f t="shared" si="26"/>
        <v>-6692.2948946961251</v>
      </c>
      <c r="F277" s="23">
        <f t="shared" si="27"/>
        <v>735795.10090978362</v>
      </c>
    </row>
    <row r="278" spans="1:6" x14ac:dyDescent="0.2">
      <c r="A278" s="26">
        <f t="shared" si="28"/>
        <v>207</v>
      </c>
      <c r="B278" s="22">
        <f t="shared" si="29"/>
        <v>735795.10090978362</v>
      </c>
      <c r="C278" s="28">
        <f t="shared" si="30"/>
        <v>-9086.0030854224769</v>
      </c>
      <c r="D278" s="28">
        <f t="shared" si="25"/>
        <v>2372.1328734957701</v>
      </c>
      <c r="E278" s="28">
        <f t="shared" si="26"/>
        <v>-6713.8702119267073</v>
      </c>
      <c r="F278" s="23">
        <f t="shared" si="27"/>
        <v>729081.23069785687</v>
      </c>
    </row>
    <row r="279" spans="1:6" x14ac:dyDescent="0.2">
      <c r="A279" s="26">
        <f t="shared" si="28"/>
        <v>208</v>
      </c>
      <c r="B279" s="22">
        <f t="shared" si="29"/>
        <v>729081.23069785687</v>
      </c>
      <c r="C279" s="28">
        <f t="shared" si="30"/>
        <v>-9086.0030854224769</v>
      </c>
      <c r="D279" s="28">
        <f t="shared" si="25"/>
        <v>2350.4879995106035</v>
      </c>
      <c r="E279" s="28">
        <f t="shared" si="26"/>
        <v>-6735.515085911873</v>
      </c>
      <c r="F279" s="23">
        <f t="shared" si="27"/>
        <v>722345.71561194502</v>
      </c>
    </row>
    <row r="280" spans="1:6" x14ac:dyDescent="0.2">
      <c r="A280" s="26">
        <f t="shared" si="28"/>
        <v>209</v>
      </c>
      <c r="B280" s="22">
        <f t="shared" si="29"/>
        <v>722345.71561194502</v>
      </c>
      <c r="C280" s="28">
        <f t="shared" si="30"/>
        <v>-9086.0030854224769</v>
      </c>
      <c r="D280" s="28">
        <f t="shared" si="25"/>
        <v>2328.7733445265426</v>
      </c>
      <c r="E280" s="28">
        <f t="shared" si="26"/>
        <v>-6757.2297408959348</v>
      </c>
      <c r="F280" s="23">
        <f t="shared" si="27"/>
        <v>715588.48587104911</v>
      </c>
    </row>
    <row r="281" spans="1:6" x14ac:dyDescent="0.2">
      <c r="A281" s="26">
        <f t="shared" si="28"/>
        <v>210</v>
      </c>
      <c r="B281" s="22">
        <f t="shared" si="29"/>
        <v>715588.48587104911</v>
      </c>
      <c r="C281" s="28">
        <f t="shared" si="30"/>
        <v>-9086.0030854224769</v>
      </c>
      <c r="D281" s="28">
        <f t="shared" si="25"/>
        <v>2306.9886835763359</v>
      </c>
      <c r="E281" s="28">
        <f t="shared" si="26"/>
        <v>-6779.0144018461415</v>
      </c>
      <c r="F281" s="23">
        <f t="shared" si="27"/>
        <v>708809.47146920301</v>
      </c>
    </row>
    <row r="282" spans="1:6" x14ac:dyDescent="0.2">
      <c r="A282" s="26">
        <f t="shared" si="28"/>
        <v>211</v>
      </c>
      <c r="B282" s="22">
        <f t="shared" si="29"/>
        <v>708809.47146920301</v>
      </c>
      <c r="C282" s="28">
        <f t="shared" si="30"/>
        <v>-9086.0030854224769</v>
      </c>
      <c r="D282" s="28">
        <f t="shared" si="25"/>
        <v>2285.1337909674603</v>
      </c>
      <c r="E282" s="28">
        <f t="shared" si="26"/>
        <v>-6800.8692944550166</v>
      </c>
      <c r="F282" s="23">
        <f t="shared" si="27"/>
        <v>702008.60217474797</v>
      </c>
    </row>
    <row r="283" spans="1:6" x14ac:dyDescent="0.2">
      <c r="A283" s="26">
        <f t="shared" si="28"/>
        <v>212</v>
      </c>
      <c r="B283" s="22">
        <f t="shared" si="29"/>
        <v>702008.60217474797</v>
      </c>
      <c r="C283" s="28">
        <f t="shared" si="30"/>
        <v>-9086.0030854224769</v>
      </c>
      <c r="D283" s="28">
        <f t="shared" si="25"/>
        <v>2263.2084402797791</v>
      </c>
      <c r="E283" s="28">
        <f t="shared" si="26"/>
        <v>-6822.7946451426978</v>
      </c>
      <c r="F283" s="23">
        <f t="shared" si="27"/>
        <v>695185.80752960523</v>
      </c>
    </row>
    <row r="284" spans="1:6" x14ac:dyDescent="0.2">
      <c r="A284" s="26">
        <f t="shared" si="28"/>
        <v>213</v>
      </c>
      <c r="B284" s="22">
        <f t="shared" si="29"/>
        <v>695185.80752960523</v>
      </c>
      <c r="C284" s="28">
        <f t="shared" si="30"/>
        <v>-9086.0030854224769</v>
      </c>
      <c r="D284" s="28">
        <f t="shared" si="25"/>
        <v>2241.2124043632007</v>
      </c>
      <c r="E284" s="28">
        <f t="shared" si="26"/>
        <v>-6844.7906810592758</v>
      </c>
      <c r="F284" s="23">
        <f t="shared" si="27"/>
        <v>688341.01684854599</v>
      </c>
    </row>
    <row r="285" spans="1:6" x14ac:dyDescent="0.2">
      <c r="A285" s="26">
        <f t="shared" si="28"/>
        <v>214</v>
      </c>
      <c r="B285" s="22">
        <f t="shared" si="29"/>
        <v>688341.01684854599</v>
      </c>
      <c r="C285" s="28">
        <f t="shared" si="30"/>
        <v>-9086.0030854224769</v>
      </c>
      <c r="D285" s="28">
        <f t="shared" si="25"/>
        <v>2219.1454553353233</v>
      </c>
      <c r="E285" s="28">
        <f t="shared" si="26"/>
        <v>-6866.8576300871537</v>
      </c>
      <c r="F285" s="23">
        <f t="shared" si="27"/>
        <v>681474.15921845881</v>
      </c>
    </row>
    <row r="286" spans="1:6" x14ac:dyDescent="0.2">
      <c r="A286" s="26">
        <f t="shared" si="28"/>
        <v>215</v>
      </c>
      <c r="B286" s="22">
        <f t="shared" si="29"/>
        <v>681474.15921845881</v>
      </c>
      <c r="C286" s="28">
        <f t="shared" si="30"/>
        <v>-9086.0030854224769</v>
      </c>
      <c r="D286" s="28">
        <f t="shared" si="25"/>
        <v>2197.0073645790731</v>
      </c>
      <c r="E286" s="28">
        <f t="shared" si="26"/>
        <v>-6888.9957208434043</v>
      </c>
      <c r="F286" s="23">
        <f t="shared" si="27"/>
        <v>674585.16349761537</v>
      </c>
    </row>
    <row r="287" spans="1:6" x14ac:dyDescent="0.2">
      <c r="A287" s="26">
        <f t="shared" si="28"/>
        <v>216</v>
      </c>
      <c r="B287" s="22">
        <f t="shared" si="29"/>
        <v>674585.16349761537</v>
      </c>
      <c r="C287" s="28">
        <f t="shared" si="30"/>
        <v>-9086.0030854224769</v>
      </c>
      <c r="D287" s="28">
        <f t="shared" si="25"/>
        <v>2174.7979027403376</v>
      </c>
      <c r="E287" s="28">
        <f t="shared" si="26"/>
        <v>-6911.2051826821389</v>
      </c>
      <c r="F287" s="23">
        <f t="shared" si="27"/>
        <v>667673.95831493323</v>
      </c>
    </row>
    <row r="288" spans="1:6" x14ac:dyDescent="0.2">
      <c r="A288" s="26">
        <f t="shared" si="28"/>
        <v>217</v>
      </c>
      <c r="B288" s="22">
        <f t="shared" si="29"/>
        <v>667673.95831493323</v>
      </c>
      <c r="C288" s="28">
        <f t="shared" si="30"/>
        <v>-9086.0030854224769</v>
      </c>
      <c r="D288" s="28">
        <f t="shared" si="25"/>
        <v>2152.5168397255884</v>
      </c>
      <c r="E288" s="28">
        <f t="shared" si="26"/>
        <v>-6933.4862456968885</v>
      </c>
      <c r="F288" s="23">
        <f t="shared" si="27"/>
        <v>660740.47206923633</v>
      </c>
    </row>
    <row r="289" spans="1:6" x14ac:dyDescent="0.2">
      <c r="A289" s="26">
        <f t="shared" si="28"/>
        <v>218</v>
      </c>
      <c r="B289" s="22">
        <f t="shared" si="29"/>
        <v>660740.47206923633</v>
      </c>
      <c r="C289" s="28">
        <f t="shared" si="30"/>
        <v>-9086.0030854224769</v>
      </c>
      <c r="D289" s="28">
        <f t="shared" si="25"/>
        <v>2130.1639446994973</v>
      </c>
      <c r="E289" s="28">
        <f t="shared" si="26"/>
        <v>-6955.8391407229792</v>
      </c>
      <c r="F289" s="23">
        <f t="shared" si="27"/>
        <v>653784.63292851334</v>
      </c>
    </row>
    <row r="290" spans="1:6" x14ac:dyDescent="0.2">
      <c r="A290" s="26">
        <f t="shared" si="28"/>
        <v>219</v>
      </c>
      <c r="B290" s="22">
        <f t="shared" si="29"/>
        <v>653784.63292851334</v>
      </c>
      <c r="C290" s="28">
        <f t="shared" si="30"/>
        <v>-9086.0030854224769</v>
      </c>
      <c r="D290" s="28">
        <f t="shared" si="25"/>
        <v>2107.7389860825456</v>
      </c>
      <c r="E290" s="28">
        <f t="shared" si="26"/>
        <v>-6978.2640993399309</v>
      </c>
      <c r="F290" s="23">
        <f t="shared" si="27"/>
        <v>646806.36882917339</v>
      </c>
    </row>
    <row r="291" spans="1:6" x14ac:dyDescent="0.2">
      <c r="A291" s="26">
        <f t="shared" si="28"/>
        <v>220</v>
      </c>
      <c r="B291" s="22">
        <f t="shared" si="29"/>
        <v>646806.36882917339</v>
      </c>
      <c r="C291" s="28">
        <f t="shared" si="30"/>
        <v>-9086.0030854224769</v>
      </c>
      <c r="D291" s="28">
        <f t="shared" si="25"/>
        <v>2085.2417315486246</v>
      </c>
      <c r="E291" s="28">
        <f t="shared" si="26"/>
        <v>-7000.7613538738524</v>
      </c>
      <c r="F291" s="23">
        <f t="shared" si="27"/>
        <v>639805.6074752995</v>
      </c>
    </row>
    <row r="292" spans="1:6" x14ac:dyDescent="0.2">
      <c r="A292" s="26">
        <f t="shared" si="28"/>
        <v>221</v>
      </c>
      <c r="B292" s="22">
        <f t="shared" si="29"/>
        <v>639805.6074752995</v>
      </c>
      <c r="C292" s="28">
        <f t="shared" si="30"/>
        <v>-9086.0030854224769</v>
      </c>
      <c r="D292" s="28">
        <f t="shared" si="25"/>
        <v>2062.6719480226275</v>
      </c>
      <c r="E292" s="28">
        <f t="shared" si="26"/>
        <v>-7023.3311373998495</v>
      </c>
      <c r="F292" s="23">
        <f t="shared" si="27"/>
        <v>632782.27633789962</v>
      </c>
    </row>
    <row r="293" spans="1:6" x14ac:dyDescent="0.2">
      <c r="A293" s="26">
        <f t="shared" si="28"/>
        <v>222</v>
      </c>
      <c r="B293" s="22">
        <f t="shared" si="29"/>
        <v>632782.27633789962</v>
      </c>
      <c r="C293" s="28">
        <f t="shared" si="30"/>
        <v>-9086.0030854224769</v>
      </c>
      <c r="D293" s="28">
        <f t="shared" si="25"/>
        <v>2040.0294016780365</v>
      </c>
      <c r="E293" s="28">
        <f t="shared" si="26"/>
        <v>-7045.9736837444407</v>
      </c>
      <c r="F293" s="23">
        <f t="shared" si="27"/>
        <v>625736.30265415518</v>
      </c>
    </row>
    <row r="294" spans="1:6" x14ac:dyDescent="0.2">
      <c r="A294" s="26">
        <f t="shared" si="28"/>
        <v>223</v>
      </c>
      <c r="B294" s="22">
        <f t="shared" si="29"/>
        <v>625736.30265415518</v>
      </c>
      <c r="C294" s="28">
        <f t="shared" si="30"/>
        <v>-9086.0030854224769</v>
      </c>
      <c r="D294" s="28">
        <f t="shared" si="25"/>
        <v>2017.3138579344998</v>
      </c>
      <c r="E294" s="28">
        <f t="shared" si="26"/>
        <v>-7068.6892274879774</v>
      </c>
      <c r="F294" s="23">
        <f t="shared" si="27"/>
        <v>618667.61342666717</v>
      </c>
    </row>
    <row r="295" spans="1:6" x14ac:dyDescent="0.2">
      <c r="A295" s="26">
        <f t="shared" si="28"/>
        <v>224</v>
      </c>
      <c r="B295" s="22">
        <f t="shared" si="29"/>
        <v>618667.61342666717</v>
      </c>
      <c r="C295" s="28">
        <f t="shared" si="30"/>
        <v>-9086.0030854224769</v>
      </c>
      <c r="D295" s="28">
        <f t="shared" si="25"/>
        <v>1994.5250814553999</v>
      </c>
      <c r="E295" s="28">
        <f t="shared" si="26"/>
        <v>-7091.4780039670768</v>
      </c>
      <c r="F295" s="23">
        <f t="shared" si="27"/>
        <v>611576.13542270008</v>
      </c>
    </row>
    <row r="296" spans="1:6" x14ac:dyDescent="0.2">
      <c r="A296" s="26">
        <f t="shared" si="28"/>
        <v>225</v>
      </c>
      <c r="B296" s="22">
        <f t="shared" si="29"/>
        <v>611576.13542270008</v>
      </c>
      <c r="C296" s="28">
        <f t="shared" si="30"/>
        <v>-9086.0030854224769</v>
      </c>
      <c r="D296" s="28">
        <f t="shared" si="25"/>
        <v>1971.6628361454179</v>
      </c>
      <c r="E296" s="28">
        <f t="shared" si="26"/>
        <v>-7114.3402492770592</v>
      </c>
      <c r="F296" s="23">
        <f t="shared" si="27"/>
        <v>604461.79517342302</v>
      </c>
    </row>
    <row r="297" spans="1:6" x14ac:dyDescent="0.2">
      <c r="A297" s="26">
        <f t="shared" si="28"/>
        <v>226</v>
      </c>
      <c r="B297" s="22">
        <f t="shared" si="29"/>
        <v>604461.79517342302</v>
      </c>
      <c r="C297" s="28">
        <f t="shared" si="30"/>
        <v>-9086.0030854224769</v>
      </c>
      <c r="D297" s="28">
        <f t="shared" si="25"/>
        <v>1948.7268851480851</v>
      </c>
      <c r="E297" s="28">
        <f t="shared" si="26"/>
        <v>-7137.2762002743921</v>
      </c>
      <c r="F297" s="23">
        <f t="shared" si="27"/>
        <v>597324.51897314866</v>
      </c>
    </row>
    <row r="298" spans="1:6" x14ac:dyDescent="0.2">
      <c r="A298" s="26">
        <f t="shared" si="28"/>
        <v>227</v>
      </c>
      <c r="B298" s="22">
        <f t="shared" si="29"/>
        <v>597324.51897314866</v>
      </c>
      <c r="C298" s="28">
        <f t="shared" si="30"/>
        <v>-9086.0030854224769</v>
      </c>
      <c r="D298" s="28">
        <f t="shared" si="25"/>
        <v>1925.7169908433314</v>
      </c>
      <c r="E298" s="28">
        <f t="shared" si="26"/>
        <v>-7160.2860945791454</v>
      </c>
      <c r="F298" s="23">
        <f t="shared" si="27"/>
        <v>590164.23287856951</v>
      </c>
    </row>
    <row r="299" spans="1:6" x14ac:dyDescent="0.2">
      <c r="A299" s="26">
        <f t="shared" si="28"/>
        <v>228</v>
      </c>
      <c r="B299" s="22">
        <f t="shared" si="29"/>
        <v>590164.23287856951</v>
      </c>
      <c r="C299" s="28">
        <f t="shared" si="30"/>
        <v>-9086.0030854224769</v>
      </c>
      <c r="D299" s="28">
        <f t="shared" si="25"/>
        <v>1902.6329148450211</v>
      </c>
      <c r="E299" s="28">
        <f t="shared" si="26"/>
        <v>-7183.3701705774556</v>
      </c>
      <c r="F299" s="23">
        <f t="shared" si="27"/>
        <v>582980.86270799208</v>
      </c>
    </row>
    <row r="300" spans="1:6" x14ac:dyDescent="0.2">
      <c r="A300" s="26">
        <f t="shared" si="28"/>
        <v>229</v>
      </c>
      <c r="B300" s="22">
        <f t="shared" si="29"/>
        <v>582980.86270799208</v>
      </c>
      <c r="C300" s="28">
        <f t="shared" si="30"/>
        <v>-9086.0030854224769</v>
      </c>
      <c r="D300" s="28">
        <f t="shared" si="25"/>
        <v>1879.4744179984855</v>
      </c>
      <c r="E300" s="28">
        <f t="shared" si="26"/>
        <v>-7206.5286674239915</v>
      </c>
      <c r="F300" s="23">
        <f t="shared" si="27"/>
        <v>575774.33404056809</v>
      </c>
    </row>
    <row r="301" spans="1:6" x14ac:dyDescent="0.2">
      <c r="A301" s="26">
        <f t="shared" si="28"/>
        <v>230</v>
      </c>
      <c r="B301" s="22">
        <f t="shared" si="29"/>
        <v>575774.33404056809</v>
      </c>
      <c r="C301" s="28">
        <f t="shared" si="30"/>
        <v>-9086.0030854224769</v>
      </c>
      <c r="D301" s="28">
        <f t="shared" si="25"/>
        <v>1856.2412603780433</v>
      </c>
      <c r="E301" s="28">
        <f t="shared" si="26"/>
        <v>-7229.7618250444339</v>
      </c>
      <c r="F301" s="23">
        <f t="shared" si="27"/>
        <v>568544.57221552369</v>
      </c>
    </row>
    <row r="302" spans="1:6" x14ac:dyDescent="0.2">
      <c r="A302" s="26">
        <f t="shared" si="28"/>
        <v>231</v>
      </c>
      <c r="B302" s="22">
        <f t="shared" si="29"/>
        <v>568544.57221552369</v>
      </c>
      <c r="C302" s="28">
        <f t="shared" si="30"/>
        <v>-9086.0030854224769</v>
      </c>
      <c r="D302" s="28">
        <f t="shared" si="25"/>
        <v>1832.9332012845166</v>
      </c>
      <c r="E302" s="28">
        <f t="shared" si="26"/>
        <v>-7253.0698841379599</v>
      </c>
      <c r="F302" s="23">
        <f t="shared" si="27"/>
        <v>561291.50233138574</v>
      </c>
    </row>
    <row r="303" spans="1:6" x14ac:dyDescent="0.2">
      <c r="A303" s="26">
        <f t="shared" si="28"/>
        <v>232</v>
      </c>
      <c r="B303" s="22">
        <f t="shared" si="29"/>
        <v>561291.50233138574</v>
      </c>
      <c r="C303" s="28">
        <f t="shared" si="30"/>
        <v>-9086.0030854224769</v>
      </c>
      <c r="D303" s="28">
        <f t="shared" si="25"/>
        <v>1809.549999242736</v>
      </c>
      <c r="E303" s="28">
        <f t="shared" si="26"/>
        <v>-7276.4530861797411</v>
      </c>
      <c r="F303" s="23">
        <f t="shared" si="27"/>
        <v>554015.04924520594</v>
      </c>
    </row>
    <row r="304" spans="1:6" x14ac:dyDescent="0.2">
      <c r="A304" s="26">
        <f t="shared" si="28"/>
        <v>233</v>
      </c>
      <c r="B304" s="22">
        <f t="shared" si="29"/>
        <v>554015.04924520594</v>
      </c>
      <c r="C304" s="28">
        <f t="shared" si="30"/>
        <v>-9086.0030854224769</v>
      </c>
      <c r="D304" s="28">
        <f t="shared" si="25"/>
        <v>1786.0914119990393</v>
      </c>
      <c r="E304" s="28">
        <f t="shared" si="26"/>
        <v>-7299.9116734234376</v>
      </c>
      <c r="F304" s="23">
        <f t="shared" si="27"/>
        <v>546715.13757178246</v>
      </c>
    </row>
    <row r="305" spans="1:6" x14ac:dyDescent="0.2">
      <c r="A305" s="26">
        <f t="shared" si="28"/>
        <v>234</v>
      </c>
      <c r="B305" s="22">
        <f t="shared" si="29"/>
        <v>546715.13757178246</v>
      </c>
      <c r="C305" s="28">
        <f t="shared" si="30"/>
        <v>-9086.0030854224769</v>
      </c>
      <c r="D305" s="28">
        <f t="shared" si="25"/>
        <v>1762.5571965187619</v>
      </c>
      <c r="E305" s="28">
        <f t="shared" si="26"/>
        <v>-7323.4458889037151</v>
      </c>
      <c r="F305" s="23">
        <f t="shared" si="27"/>
        <v>539391.69168287877</v>
      </c>
    </row>
    <row r="306" spans="1:6" x14ac:dyDescent="0.2">
      <c r="A306" s="26">
        <f t="shared" si="28"/>
        <v>235</v>
      </c>
      <c r="B306" s="22">
        <f t="shared" si="29"/>
        <v>539391.69168287877</v>
      </c>
      <c r="C306" s="28">
        <f t="shared" si="30"/>
        <v>-9086.0030854224769</v>
      </c>
      <c r="D306" s="28">
        <f t="shared" si="25"/>
        <v>1738.9471089837186</v>
      </c>
      <c r="E306" s="28">
        <f t="shared" si="26"/>
        <v>-7347.0559764387581</v>
      </c>
      <c r="F306" s="23">
        <f t="shared" si="27"/>
        <v>532044.63570643996</v>
      </c>
    </row>
    <row r="307" spans="1:6" x14ac:dyDescent="0.2">
      <c r="A307" s="26">
        <f t="shared" si="28"/>
        <v>236</v>
      </c>
      <c r="B307" s="22">
        <f t="shared" si="29"/>
        <v>532044.63570643996</v>
      </c>
      <c r="C307" s="28">
        <f t="shared" si="30"/>
        <v>-9086.0030854224769</v>
      </c>
      <c r="D307" s="28">
        <f t="shared" si="25"/>
        <v>1715.2609047896779</v>
      </c>
      <c r="E307" s="28">
        <f t="shared" si="26"/>
        <v>-7370.7421806327993</v>
      </c>
      <c r="F307" s="23">
        <f t="shared" si="27"/>
        <v>524673.89352580719</v>
      </c>
    </row>
    <row r="308" spans="1:6" x14ac:dyDescent="0.2">
      <c r="A308" s="26">
        <f t="shared" si="28"/>
        <v>237</v>
      </c>
      <c r="B308" s="22">
        <f t="shared" si="29"/>
        <v>524673.89352580719</v>
      </c>
      <c r="C308" s="28">
        <f t="shared" si="30"/>
        <v>-9086.0030854224769</v>
      </c>
      <c r="D308" s="28">
        <f t="shared" si="25"/>
        <v>1691.4983385438275</v>
      </c>
      <c r="E308" s="28">
        <f t="shared" si="26"/>
        <v>-7394.5047468786497</v>
      </c>
      <c r="F308" s="23">
        <f t="shared" si="27"/>
        <v>517279.38877892855</v>
      </c>
    </row>
    <row r="309" spans="1:6" x14ac:dyDescent="0.2">
      <c r="A309" s="26">
        <f t="shared" si="28"/>
        <v>238</v>
      </c>
      <c r="B309" s="22">
        <f t="shared" si="29"/>
        <v>517279.38877892855</v>
      </c>
      <c r="C309" s="28">
        <f t="shared" si="30"/>
        <v>-9086.0030854224769</v>
      </c>
      <c r="D309" s="28">
        <f t="shared" si="25"/>
        <v>1667.6591640622321</v>
      </c>
      <c r="E309" s="28">
        <f t="shared" si="26"/>
        <v>-7418.3439213602451</v>
      </c>
      <c r="F309" s="23">
        <f t="shared" si="27"/>
        <v>509861.04485756828</v>
      </c>
    </row>
    <row r="310" spans="1:6" x14ac:dyDescent="0.2">
      <c r="A310" s="26">
        <f t="shared" si="28"/>
        <v>239</v>
      </c>
      <c r="B310" s="22">
        <f t="shared" si="29"/>
        <v>509861.04485756828</v>
      </c>
      <c r="C310" s="28">
        <f t="shared" si="30"/>
        <v>-9086.0030854224769</v>
      </c>
      <c r="D310" s="28">
        <f t="shared" si="25"/>
        <v>1643.7431343672833</v>
      </c>
      <c r="E310" s="28">
        <f t="shared" si="26"/>
        <v>-7442.2599510551936</v>
      </c>
      <c r="F310" s="23">
        <f t="shared" si="27"/>
        <v>502418.78490651312</v>
      </c>
    </row>
    <row r="311" spans="1:6" x14ac:dyDescent="0.2">
      <c r="A311" s="26">
        <f t="shared" si="28"/>
        <v>240</v>
      </c>
      <c r="B311" s="22">
        <f t="shared" si="29"/>
        <v>502418.78490651312</v>
      </c>
      <c r="C311" s="28">
        <f t="shared" si="30"/>
        <v>-9086.0030854224769</v>
      </c>
      <c r="D311" s="28">
        <f t="shared" si="25"/>
        <v>1619.7500016851407</v>
      </c>
      <c r="E311" s="28">
        <f t="shared" si="26"/>
        <v>-7466.2530837373361</v>
      </c>
      <c r="F311" s="23">
        <f t="shared" si="27"/>
        <v>494952.53182277578</v>
      </c>
    </row>
    <row r="312" spans="1:6" x14ac:dyDescent="0.2">
      <c r="A312" s="26">
        <f t="shared" si="28"/>
        <v>241</v>
      </c>
      <c r="B312" s="22">
        <f t="shared" si="29"/>
        <v>494952.53182277578</v>
      </c>
      <c r="C312" s="28">
        <f t="shared" si="30"/>
        <v>-9086.0030854224769</v>
      </c>
      <c r="D312" s="28">
        <f t="shared" si="25"/>
        <v>1595.6795174431641</v>
      </c>
      <c r="E312" s="28">
        <f t="shared" si="26"/>
        <v>-7490.3235679793124</v>
      </c>
      <c r="F312" s="23">
        <f t="shared" si="27"/>
        <v>487462.20825479645</v>
      </c>
    </row>
    <row r="313" spans="1:6" x14ac:dyDescent="0.2">
      <c r="A313" s="26">
        <f t="shared" si="28"/>
        <v>242</v>
      </c>
      <c r="B313" s="22">
        <f t="shared" si="29"/>
        <v>487462.20825479645</v>
      </c>
      <c r="C313" s="28">
        <f t="shared" si="30"/>
        <v>-9086.0030854224769</v>
      </c>
      <c r="D313" s="28">
        <f t="shared" si="25"/>
        <v>1571.5314322673396</v>
      </c>
      <c r="E313" s="28">
        <f t="shared" si="26"/>
        <v>-7514.4716531551376</v>
      </c>
      <c r="F313" s="23">
        <f t="shared" si="27"/>
        <v>479947.73660164134</v>
      </c>
    </row>
    <row r="314" spans="1:6" x14ac:dyDescent="0.2">
      <c r="A314" s="26">
        <f t="shared" si="28"/>
        <v>243</v>
      </c>
      <c r="B314" s="22">
        <f t="shared" si="29"/>
        <v>479947.73660164134</v>
      </c>
      <c r="C314" s="28">
        <f t="shared" si="30"/>
        <v>-9086.0030854224769</v>
      </c>
      <c r="D314" s="28">
        <f t="shared" si="25"/>
        <v>1547.305495979695</v>
      </c>
      <c r="E314" s="28">
        <f t="shared" si="26"/>
        <v>-7538.6975894427815</v>
      </c>
      <c r="F314" s="23">
        <f t="shared" si="27"/>
        <v>472409.03901219857</v>
      </c>
    </row>
    <row r="315" spans="1:6" x14ac:dyDescent="0.2">
      <c r="A315" s="26">
        <f t="shared" si="28"/>
        <v>244</v>
      </c>
      <c r="B315" s="22">
        <f t="shared" si="29"/>
        <v>472409.03901219857</v>
      </c>
      <c r="C315" s="28">
        <f t="shared" si="30"/>
        <v>-9086.0030854224769</v>
      </c>
      <c r="D315" s="28">
        <f t="shared" si="25"/>
        <v>1523.0014575957086</v>
      </c>
      <c r="E315" s="28">
        <f t="shared" si="26"/>
        <v>-7563.0016278267685</v>
      </c>
      <c r="F315" s="23">
        <f t="shared" si="27"/>
        <v>464846.0373843718</v>
      </c>
    </row>
    <row r="316" spans="1:6" x14ac:dyDescent="0.2">
      <c r="A316" s="26">
        <f t="shared" si="28"/>
        <v>245</v>
      </c>
      <c r="B316" s="22">
        <f t="shared" si="29"/>
        <v>464846.0373843718</v>
      </c>
      <c r="C316" s="28">
        <f t="shared" si="30"/>
        <v>-9086.0030854224769</v>
      </c>
      <c r="D316" s="28">
        <f t="shared" si="25"/>
        <v>1498.6190653217086</v>
      </c>
      <c r="E316" s="28">
        <f t="shared" si="26"/>
        <v>-7587.3840201007679</v>
      </c>
      <c r="F316" s="23">
        <f t="shared" si="27"/>
        <v>457258.65336427104</v>
      </c>
    </row>
    <row r="317" spans="1:6" x14ac:dyDescent="0.2">
      <c r="A317" s="26">
        <f t="shared" si="28"/>
        <v>246</v>
      </c>
      <c r="B317" s="22">
        <f t="shared" si="29"/>
        <v>457258.65336427104</v>
      </c>
      <c r="C317" s="28">
        <f t="shared" si="30"/>
        <v>-9086.0030854224769</v>
      </c>
      <c r="D317" s="28">
        <f t="shared" si="25"/>
        <v>1474.158066552264</v>
      </c>
      <c r="E317" s="28">
        <f t="shared" si="26"/>
        <v>-7611.8450188702127</v>
      </c>
      <c r="F317" s="23">
        <f t="shared" si="27"/>
        <v>449646.80834540084</v>
      </c>
    </row>
    <row r="318" spans="1:6" x14ac:dyDescent="0.2">
      <c r="A318" s="26">
        <f t="shared" si="28"/>
        <v>247</v>
      </c>
      <c r="B318" s="22">
        <f t="shared" si="29"/>
        <v>449646.80834540084</v>
      </c>
      <c r="C318" s="28">
        <f t="shared" si="30"/>
        <v>-9086.0030854224769</v>
      </c>
      <c r="D318" s="28">
        <f t="shared" si="25"/>
        <v>1449.618207867569</v>
      </c>
      <c r="E318" s="28">
        <f t="shared" si="26"/>
        <v>-7636.3848775549077</v>
      </c>
      <c r="F318" s="23">
        <f t="shared" si="27"/>
        <v>442010.42346784595</v>
      </c>
    </row>
    <row r="319" spans="1:6" x14ac:dyDescent="0.2">
      <c r="A319" s="26">
        <f t="shared" si="28"/>
        <v>248</v>
      </c>
      <c r="B319" s="22">
        <f t="shared" si="29"/>
        <v>442010.42346784595</v>
      </c>
      <c r="C319" s="28">
        <f t="shared" si="30"/>
        <v>-9086.0030854224769</v>
      </c>
      <c r="D319" s="28">
        <f t="shared" si="25"/>
        <v>1424.999235030816</v>
      </c>
      <c r="E319" s="28">
        <f t="shared" si="26"/>
        <v>-7661.0038503916612</v>
      </c>
      <c r="F319" s="23">
        <f t="shared" si="27"/>
        <v>434349.41961745429</v>
      </c>
    </row>
    <row r="320" spans="1:6" x14ac:dyDescent="0.2">
      <c r="A320" s="26">
        <f t="shared" si="28"/>
        <v>249</v>
      </c>
      <c r="B320" s="22">
        <f t="shared" si="29"/>
        <v>434349.41961745429</v>
      </c>
      <c r="C320" s="28">
        <f t="shared" si="30"/>
        <v>-9086.0030854224769</v>
      </c>
      <c r="D320" s="28">
        <f t="shared" si="25"/>
        <v>1400.3008929855623</v>
      </c>
      <c r="E320" s="28">
        <f t="shared" si="26"/>
        <v>-7685.7021924369146</v>
      </c>
      <c r="F320" s="23">
        <f t="shared" si="27"/>
        <v>426663.71742501738</v>
      </c>
    </row>
    <row r="321" spans="1:6" x14ac:dyDescent="0.2">
      <c r="A321" s="26">
        <f t="shared" si="28"/>
        <v>250</v>
      </c>
      <c r="B321" s="22">
        <f t="shared" si="29"/>
        <v>426663.71742501738</v>
      </c>
      <c r="C321" s="28">
        <f t="shared" si="30"/>
        <v>-9086.0030854224769</v>
      </c>
      <c r="D321" s="28">
        <f t="shared" si="25"/>
        <v>1375.5229258530883</v>
      </c>
      <c r="E321" s="28">
        <f t="shared" si="26"/>
        <v>-7710.4801595693889</v>
      </c>
      <c r="F321" s="23">
        <f t="shared" si="27"/>
        <v>418953.23726544797</v>
      </c>
    </row>
    <row r="322" spans="1:6" x14ac:dyDescent="0.2">
      <c r="A322" s="26">
        <f t="shared" si="28"/>
        <v>251</v>
      </c>
      <c r="B322" s="22">
        <f t="shared" si="29"/>
        <v>418953.23726544797</v>
      </c>
      <c r="C322" s="28">
        <f t="shared" si="30"/>
        <v>-9086.0030854224769</v>
      </c>
      <c r="D322" s="28">
        <f t="shared" si="25"/>
        <v>1350.6650769297448</v>
      </c>
      <c r="E322" s="28">
        <f t="shared" si="26"/>
        <v>-7735.3380084927321</v>
      </c>
      <c r="F322" s="23">
        <f t="shared" si="27"/>
        <v>411217.89925695525</v>
      </c>
    </row>
    <row r="323" spans="1:6" x14ac:dyDescent="0.2">
      <c r="A323" s="26">
        <f t="shared" si="28"/>
        <v>252</v>
      </c>
      <c r="B323" s="22">
        <f t="shared" si="29"/>
        <v>411217.89925695525</v>
      </c>
      <c r="C323" s="28">
        <f t="shared" si="30"/>
        <v>-9086.0030854224769</v>
      </c>
      <c r="D323" s="28">
        <f t="shared" si="25"/>
        <v>1325.7270886842962</v>
      </c>
      <c r="E323" s="28">
        <f t="shared" si="26"/>
        <v>-7760.2759967381808</v>
      </c>
      <c r="F323" s="23">
        <f t="shared" si="27"/>
        <v>403457.62326021708</v>
      </c>
    </row>
    <row r="324" spans="1:6" x14ac:dyDescent="0.2">
      <c r="A324" s="26">
        <f t="shared" si="28"/>
        <v>253</v>
      </c>
      <c r="B324" s="22">
        <f t="shared" si="29"/>
        <v>403457.62326021708</v>
      </c>
      <c r="C324" s="28">
        <f t="shared" si="30"/>
        <v>-9086.0030854224769</v>
      </c>
      <c r="D324" s="28">
        <f t="shared" si="25"/>
        <v>1300.7087027552495</v>
      </c>
      <c r="E324" s="28">
        <f t="shared" si="26"/>
        <v>-7785.2943826672272</v>
      </c>
      <c r="F324" s="23">
        <f t="shared" si="27"/>
        <v>395672.32887754985</v>
      </c>
    </row>
    <row r="325" spans="1:6" x14ac:dyDescent="0.2">
      <c r="A325" s="26">
        <f t="shared" si="28"/>
        <v>254</v>
      </c>
      <c r="B325" s="22">
        <f t="shared" si="29"/>
        <v>395672.32887754985</v>
      </c>
      <c r="C325" s="28">
        <f t="shared" si="30"/>
        <v>-9086.0030854224769</v>
      </c>
      <c r="D325" s="28">
        <f t="shared" si="25"/>
        <v>1275.6096599481798</v>
      </c>
      <c r="E325" s="28">
        <f t="shared" si="26"/>
        <v>-7810.3934254742971</v>
      </c>
      <c r="F325" s="23">
        <f t="shared" si="27"/>
        <v>387861.93545207556</v>
      </c>
    </row>
    <row r="326" spans="1:6" x14ac:dyDescent="0.2">
      <c r="A326" s="26">
        <f t="shared" si="28"/>
        <v>255</v>
      </c>
      <c r="B326" s="22">
        <f t="shared" si="29"/>
        <v>387861.93545207556</v>
      </c>
      <c r="C326" s="28">
        <f t="shared" si="30"/>
        <v>-9086.0030854224769</v>
      </c>
      <c r="D326" s="28">
        <f t="shared" si="25"/>
        <v>1250.4297002330438</v>
      </c>
      <c r="E326" s="28">
        <f t="shared" si="26"/>
        <v>-7835.5733851894329</v>
      </c>
      <c r="F326" s="23">
        <f t="shared" si="27"/>
        <v>380026.36206688615</v>
      </c>
    </row>
    <row r="327" spans="1:6" x14ac:dyDescent="0.2">
      <c r="A327" s="26">
        <f t="shared" si="28"/>
        <v>256</v>
      </c>
      <c r="B327" s="22">
        <f t="shared" si="29"/>
        <v>380026.36206688615</v>
      </c>
      <c r="C327" s="28">
        <f t="shared" si="30"/>
        <v>-9086.0030854224769</v>
      </c>
      <c r="D327" s="28">
        <f t="shared" si="25"/>
        <v>1225.1685627414865</v>
      </c>
      <c r="E327" s="28">
        <f t="shared" si="26"/>
        <v>-7860.8345226809906</v>
      </c>
      <c r="F327" s="23">
        <f t="shared" si="27"/>
        <v>372165.52754420519</v>
      </c>
    </row>
    <row r="328" spans="1:6" x14ac:dyDescent="0.2">
      <c r="A328" s="26">
        <f t="shared" si="28"/>
        <v>257</v>
      </c>
      <c r="B328" s="22">
        <f t="shared" si="29"/>
        <v>372165.52754420519</v>
      </c>
      <c r="C328" s="28">
        <f t="shared" si="30"/>
        <v>-9086.0030854224769</v>
      </c>
      <c r="D328" s="28">
        <f t="shared" ref="D328:D371" si="31">+B328*$B$14</f>
        <v>1199.8259857641383</v>
      </c>
      <c r="E328" s="28">
        <f t="shared" ref="E328:E371" si="32">+C328+D328</f>
        <v>-7886.1770996583382</v>
      </c>
      <c r="F328" s="23">
        <f t="shared" ref="F328:F371" si="33">+B328+E328</f>
        <v>364279.35044454684</v>
      </c>
    </row>
    <row r="329" spans="1:6" x14ac:dyDescent="0.2">
      <c r="A329" s="26">
        <f t="shared" ref="A329:A371" si="34">1+A328</f>
        <v>258</v>
      </c>
      <c r="B329" s="22">
        <f t="shared" ref="B329:B371" si="35">F328</f>
        <v>364279.35044454684</v>
      </c>
      <c r="C329" s="28">
        <f t="shared" ref="C329:C371" si="36">C328</f>
        <v>-9086.0030854224769</v>
      </c>
      <c r="D329" s="28">
        <f t="shared" si="31"/>
        <v>1174.4017067479033</v>
      </c>
      <c r="E329" s="28">
        <f t="shared" si="32"/>
        <v>-7911.6013786745734</v>
      </c>
      <c r="F329" s="23">
        <f t="shared" si="33"/>
        <v>356367.74906587228</v>
      </c>
    </row>
    <row r="330" spans="1:6" x14ac:dyDescent="0.2">
      <c r="A330" s="26">
        <f t="shared" si="34"/>
        <v>259</v>
      </c>
      <c r="B330" s="22">
        <f t="shared" si="35"/>
        <v>356367.74906587228</v>
      </c>
      <c r="C330" s="28">
        <f t="shared" si="36"/>
        <v>-9086.0030854224769</v>
      </c>
      <c r="D330" s="28">
        <f t="shared" si="31"/>
        <v>1148.8954622932401</v>
      </c>
      <c r="E330" s="28">
        <f t="shared" si="32"/>
        <v>-7937.1076231292373</v>
      </c>
      <c r="F330" s="23">
        <f t="shared" si="33"/>
        <v>348430.64144274307</v>
      </c>
    </row>
    <row r="331" spans="1:6" x14ac:dyDescent="0.2">
      <c r="A331" s="26">
        <f t="shared" si="34"/>
        <v>260</v>
      </c>
      <c r="B331" s="22">
        <f t="shared" si="35"/>
        <v>348430.64144274307</v>
      </c>
      <c r="C331" s="28">
        <f t="shared" si="36"/>
        <v>-9086.0030854224769</v>
      </c>
      <c r="D331" s="28">
        <f t="shared" si="31"/>
        <v>1123.3069881514327</v>
      </c>
      <c r="E331" s="28">
        <f t="shared" si="32"/>
        <v>-7962.696097271044</v>
      </c>
      <c r="F331" s="23">
        <f t="shared" si="33"/>
        <v>340467.94534547202</v>
      </c>
    </row>
    <row r="332" spans="1:6" x14ac:dyDescent="0.2">
      <c r="A332" s="26">
        <f t="shared" si="34"/>
        <v>261</v>
      </c>
      <c r="B332" s="22">
        <f t="shared" si="35"/>
        <v>340467.94534547202</v>
      </c>
      <c r="C332" s="28">
        <f t="shared" si="36"/>
        <v>-9086.0030854224769</v>
      </c>
      <c r="D332" s="28">
        <f t="shared" si="31"/>
        <v>1097.6360192218515</v>
      </c>
      <c r="E332" s="28">
        <f t="shared" si="32"/>
        <v>-7988.3670662006252</v>
      </c>
      <c r="F332" s="23">
        <f t="shared" si="33"/>
        <v>332479.57827927137</v>
      </c>
    </row>
    <row r="333" spans="1:6" x14ac:dyDescent="0.2">
      <c r="A333" s="26">
        <f t="shared" si="34"/>
        <v>262</v>
      </c>
      <c r="B333" s="22">
        <f t="shared" si="35"/>
        <v>332479.57827927137</v>
      </c>
      <c r="C333" s="28">
        <f t="shared" si="36"/>
        <v>-9086.0030854224769</v>
      </c>
      <c r="D333" s="28">
        <f t="shared" si="31"/>
        <v>1071.8822895492087</v>
      </c>
      <c r="E333" s="28">
        <f t="shared" si="32"/>
        <v>-8014.1207958732684</v>
      </c>
      <c r="F333" s="23">
        <f t="shared" si="33"/>
        <v>324465.45748339809</v>
      </c>
    </row>
    <row r="334" spans="1:6" x14ac:dyDescent="0.2">
      <c r="A334" s="26">
        <f t="shared" si="34"/>
        <v>263</v>
      </c>
      <c r="B334" s="22">
        <f t="shared" si="35"/>
        <v>324465.45748339809</v>
      </c>
      <c r="C334" s="28">
        <f t="shared" si="36"/>
        <v>-9086.0030854224769</v>
      </c>
      <c r="D334" s="28">
        <f t="shared" si="31"/>
        <v>1046.0455323208018</v>
      </c>
      <c r="E334" s="28">
        <f t="shared" si="32"/>
        <v>-8039.9575531016753</v>
      </c>
      <c r="F334" s="23">
        <f t="shared" si="33"/>
        <v>316425.49993029638</v>
      </c>
    </row>
    <row r="335" spans="1:6" x14ac:dyDescent="0.2">
      <c r="A335" s="26">
        <f t="shared" si="34"/>
        <v>264</v>
      </c>
      <c r="B335" s="22">
        <f t="shared" si="35"/>
        <v>316425.49993029638</v>
      </c>
      <c r="C335" s="28">
        <f t="shared" si="36"/>
        <v>-9086.0030854224769</v>
      </c>
      <c r="D335" s="28">
        <f t="shared" si="31"/>
        <v>1020.1254798637503</v>
      </c>
      <c r="E335" s="28">
        <f t="shared" si="32"/>
        <v>-8065.8776055587268</v>
      </c>
      <c r="F335" s="23">
        <f t="shared" si="33"/>
        <v>308359.62232473766</v>
      </c>
    </row>
    <row r="336" spans="1:6" x14ac:dyDescent="0.2">
      <c r="A336" s="26">
        <f t="shared" si="34"/>
        <v>265</v>
      </c>
      <c r="B336" s="22">
        <f t="shared" si="35"/>
        <v>308359.62232473766</v>
      </c>
      <c r="C336" s="28">
        <f t="shared" si="36"/>
        <v>-9086.0030854224769</v>
      </c>
      <c r="D336" s="28">
        <f t="shared" si="31"/>
        <v>994.12186364222134</v>
      </c>
      <c r="E336" s="28">
        <f t="shared" si="32"/>
        <v>-8091.8812217802551</v>
      </c>
      <c r="F336" s="23">
        <f t="shared" si="33"/>
        <v>300267.7411029574</v>
      </c>
    </row>
    <row r="337" spans="1:6" x14ac:dyDescent="0.2">
      <c r="A337" s="26">
        <f t="shared" si="34"/>
        <v>266</v>
      </c>
      <c r="B337" s="22">
        <f t="shared" si="35"/>
        <v>300267.7411029574</v>
      </c>
      <c r="C337" s="28">
        <f t="shared" si="36"/>
        <v>-9086.0030854224769</v>
      </c>
      <c r="D337" s="28">
        <f t="shared" si="31"/>
        <v>968.03441425464848</v>
      </c>
      <c r="E337" s="28">
        <f t="shared" si="32"/>
        <v>-8117.9686711678287</v>
      </c>
      <c r="F337" s="23">
        <f t="shared" si="33"/>
        <v>292149.77243178955</v>
      </c>
    </row>
    <row r="338" spans="1:6" x14ac:dyDescent="0.2">
      <c r="A338" s="26">
        <f t="shared" si="34"/>
        <v>267</v>
      </c>
      <c r="B338" s="22">
        <f t="shared" si="35"/>
        <v>292149.77243178955</v>
      </c>
      <c r="C338" s="28">
        <f t="shared" si="36"/>
        <v>-9086.0030854224769</v>
      </c>
      <c r="D338" s="28">
        <f t="shared" si="31"/>
        <v>941.86286143094037</v>
      </c>
      <c r="E338" s="28">
        <f t="shared" si="32"/>
        <v>-8144.1402239915369</v>
      </c>
      <c r="F338" s="23">
        <f t="shared" si="33"/>
        <v>284005.63220779801</v>
      </c>
    </row>
    <row r="339" spans="1:6" x14ac:dyDescent="0.2">
      <c r="A339" s="26">
        <f t="shared" si="34"/>
        <v>268</v>
      </c>
      <c r="B339" s="22">
        <f t="shared" si="35"/>
        <v>284005.63220779801</v>
      </c>
      <c r="C339" s="28">
        <f t="shared" si="36"/>
        <v>-9086.0030854224769</v>
      </c>
      <c r="D339" s="28">
        <f t="shared" si="31"/>
        <v>915.60693402968104</v>
      </c>
      <c r="E339" s="28">
        <f t="shared" si="32"/>
        <v>-8170.3961513927961</v>
      </c>
      <c r="F339" s="23">
        <f t="shared" si="33"/>
        <v>275835.23605640524</v>
      </c>
    </row>
    <row r="340" spans="1:6" x14ac:dyDescent="0.2">
      <c r="A340" s="26">
        <f t="shared" si="34"/>
        <v>269</v>
      </c>
      <c r="B340" s="22">
        <f t="shared" si="35"/>
        <v>275835.23605640524</v>
      </c>
      <c r="C340" s="28">
        <f t="shared" si="36"/>
        <v>-9086.0030854224769</v>
      </c>
      <c r="D340" s="28">
        <f t="shared" si="31"/>
        <v>889.26636003532053</v>
      </c>
      <c r="E340" s="28">
        <f t="shared" si="32"/>
        <v>-8196.7367253871562</v>
      </c>
      <c r="F340" s="23">
        <f t="shared" si="33"/>
        <v>267638.49933101807</v>
      </c>
    </row>
    <row r="341" spans="1:6" x14ac:dyDescent="0.2">
      <c r="A341" s="26">
        <f t="shared" si="34"/>
        <v>270</v>
      </c>
      <c r="B341" s="22">
        <f t="shared" si="35"/>
        <v>267638.49933101807</v>
      </c>
      <c r="C341" s="28">
        <f t="shared" si="36"/>
        <v>-9086.0030854224769</v>
      </c>
      <c r="D341" s="28">
        <f t="shared" si="31"/>
        <v>862.84086655535646</v>
      </c>
      <c r="E341" s="28">
        <f t="shared" si="32"/>
        <v>-8223.1622188671208</v>
      </c>
      <c r="F341" s="23">
        <f t="shared" si="33"/>
        <v>259415.33711215094</v>
      </c>
    </row>
    <row r="342" spans="1:6" x14ac:dyDescent="0.2">
      <c r="A342" s="26">
        <f t="shared" si="34"/>
        <v>271</v>
      </c>
      <c r="B342" s="22">
        <f t="shared" si="35"/>
        <v>259415.33711215094</v>
      </c>
      <c r="C342" s="28">
        <f t="shared" si="36"/>
        <v>-9086.0030854224769</v>
      </c>
      <c r="D342" s="28">
        <f t="shared" si="31"/>
        <v>836.33017981750766</v>
      </c>
      <c r="E342" s="28">
        <f t="shared" si="32"/>
        <v>-8249.6729056049699</v>
      </c>
      <c r="F342" s="23">
        <f t="shared" si="33"/>
        <v>251165.66420654597</v>
      </c>
    </row>
    <row r="343" spans="1:6" x14ac:dyDescent="0.2">
      <c r="A343" s="26">
        <f t="shared" si="34"/>
        <v>272</v>
      </c>
      <c r="B343" s="22">
        <f t="shared" si="35"/>
        <v>251165.66420654597</v>
      </c>
      <c r="C343" s="28">
        <f t="shared" si="36"/>
        <v>-9086.0030854224769</v>
      </c>
      <c r="D343" s="28">
        <f t="shared" si="31"/>
        <v>809.73402516687713</v>
      </c>
      <c r="E343" s="28">
        <f t="shared" si="32"/>
        <v>-8276.2690602555995</v>
      </c>
      <c r="F343" s="23">
        <f t="shared" si="33"/>
        <v>242889.39514629036</v>
      </c>
    </row>
    <row r="344" spans="1:6" x14ac:dyDescent="0.2">
      <c r="A344" s="26">
        <f t="shared" si="34"/>
        <v>273</v>
      </c>
      <c r="B344" s="22">
        <f t="shared" si="35"/>
        <v>242889.39514629036</v>
      </c>
      <c r="C344" s="28">
        <f t="shared" si="36"/>
        <v>-9086.0030854224769</v>
      </c>
      <c r="D344" s="28">
        <f t="shared" si="31"/>
        <v>783.05212706310681</v>
      </c>
      <c r="E344" s="28">
        <f t="shared" si="32"/>
        <v>-8302.9509583593699</v>
      </c>
      <c r="F344" s="23">
        <f t="shared" si="33"/>
        <v>234586.44418793099</v>
      </c>
    </row>
    <row r="345" spans="1:6" x14ac:dyDescent="0.2">
      <c r="A345" s="26">
        <f t="shared" si="34"/>
        <v>274</v>
      </c>
      <c r="B345" s="22">
        <f t="shared" si="35"/>
        <v>234586.44418793099</v>
      </c>
      <c r="C345" s="28">
        <f t="shared" si="36"/>
        <v>-9086.0030854224769</v>
      </c>
      <c r="D345" s="28">
        <f t="shared" si="31"/>
        <v>756.28420907752297</v>
      </c>
      <c r="E345" s="28">
        <f t="shared" si="32"/>
        <v>-8329.718876344954</v>
      </c>
      <c r="F345" s="23">
        <f t="shared" si="33"/>
        <v>226256.72531158602</v>
      </c>
    </row>
    <row r="346" spans="1:6" x14ac:dyDescent="0.2">
      <c r="A346" s="26">
        <f t="shared" si="34"/>
        <v>275</v>
      </c>
      <c r="B346" s="22">
        <f t="shared" si="35"/>
        <v>226256.72531158602</v>
      </c>
      <c r="C346" s="28">
        <f t="shared" si="36"/>
        <v>-9086.0030854224769</v>
      </c>
      <c r="D346" s="28">
        <f t="shared" si="31"/>
        <v>729.42999389027227</v>
      </c>
      <c r="E346" s="28">
        <f t="shared" si="32"/>
        <v>-8356.5730915322056</v>
      </c>
      <c r="F346" s="23">
        <f t="shared" si="33"/>
        <v>217900.15222005383</v>
      </c>
    </row>
    <row r="347" spans="1:6" x14ac:dyDescent="0.2">
      <c r="A347" s="26">
        <f t="shared" si="34"/>
        <v>276</v>
      </c>
      <c r="B347" s="22">
        <f t="shared" si="35"/>
        <v>217900.15222005383</v>
      </c>
      <c r="C347" s="28">
        <f t="shared" si="36"/>
        <v>-9086.0030854224769</v>
      </c>
      <c r="D347" s="28">
        <f t="shared" si="31"/>
        <v>702.48920328744896</v>
      </c>
      <c r="E347" s="28">
        <f t="shared" si="32"/>
        <v>-8383.5138821350283</v>
      </c>
      <c r="F347" s="23">
        <f t="shared" si="33"/>
        <v>209516.63833791879</v>
      </c>
    </row>
    <row r="348" spans="1:6" x14ac:dyDescent="0.2">
      <c r="A348" s="26">
        <f t="shared" si="34"/>
        <v>277</v>
      </c>
      <c r="B348" s="22">
        <f t="shared" si="35"/>
        <v>209516.63833791879</v>
      </c>
      <c r="C348" s="28">
        <f t="shared" si="36"/>
        <v>-9086.0030854224769</v>
      </c>
      <c r="D348" s="28">
        <f t="shared" si="31"/>
        <v>675.46155815821214</v>
      </c>
      <c r="E348" s="28">
        <f t="shared" si="32"/>
        <v>-8410.541527264264</v>
      </c>
      <c r="F348" s="23">
        <f t="shared" si="33"/>
        <v>201106.09681065453</v>
      </c>
    </row>
    <row r="349" spans="1:6" x14ac:dyDescent="0.2">
      <c r="A349" s="26">
        <f t="shared" si="34"/>
        <v>278</v>
      </c>
      <c r="B349" s="22">
        <f t="shared" si="35"/>
        <v>201106.09681065453</v>
      </c>
      <c r="C349" s="28">
        <f t="shared" si="36"/>
        <v>-9086.0030854224769</v>
      </c>
      <c r="D349" s="28">
        <f t="shared" si="31"/>
        <v>648.34677849189427</v>
      </c>
      <c r="E349" s="28">
        <f t="shared" si="32"/>
        <v>-8437.656306930583</v>
      </c>
      <c r="F349" s="23">
        <f t="shared" si="33"/>
        <v>192668.44050372395</v>
      </c>
    </row>
    <row r="350" spans="1:6" x14ac:dyDescent="0.2">
      <c r="A350" s="26">
        <f t="shared" si="34"/>
        <v>279</v>
      </c>
      <c r="B350" s="22">
        <f t="shared" si="35"/>
        <v>192668.44050372395</v>
      </c>
      <c r="C350" s="28">
        <f t="shared" si="36"/>
        <v>-9086.0030854224769</v>
      </c>
      <c r="D350" s="28">
        <f t="shared" si="31"/>
        <v>621.14458337510041</v>
      </c>
      <c r="E350" s="28">
        <f t="shared" si="32"/>
        <v>-8464.8585020473765</v>
      </c>
      <c r="F350" s="23">
        <f t="shared" si="33"/>
        <v>184203.58200167658</v>
      </c>
    </row>
    <row r="351" spans="1:6" x14ac:dyDescent="0.2">
      <c r="A351" s="26">
        <f t="shared" si="34"/>
        <v>280</v>
      </c>
      <c r="B351" s="22">
        <f t="shared" si="35"/>
        <v>184203.58200167658</v>
      </c>
      <c r="C351" s="28">
        <f t="shared" si="36"/>
        <v>-9086.0030854224769</v>
      </c>
      <c r="D351" s="28">
        <f t="shared" si="31"/>
        <v>593.85469098879776</v>
      </c>
      <c r="E351" s="28">
        <f t="shared" si="32"/>
        <v>-8492.1483944336796</v>
      </c>
      <c r="F351" s="23">
        <f t="shared" si="33"/>
        <v>175711.43360724289</v>
      </c>
    </row>
    <row r="352" spans="1:6" x14ac:dyDescent="0.2">
      <c r="A352" s="26">
        <f t="shared" si="34"/>
        <v>281</v>
      </c>
      <c r="B352" s="22">
        <f t="shared" si="35"/>
        <v>175711.43360724289</v>
      </c>
      <c r="C352" s="28">
        <f t="shared" si="36"/>
        <v>-9086.0030854224769</v>
      </c>
      <c r="D352" s="28">
        <f t="shared" si="31"/>
        <v>566.47681860539569</v>
      </c>
      <c r="E352" s="28">
        <f t="shared" si="32"/>
        <v>-8519.5262668170817</v>
      </c>
      <c r="F352" s="23">
        <f t="shared" si="33"/>
        <v>167191.90734042579</v>
      </c>
    </row>
    <row r="353" spans="1:6" x14ac:dyDescent="0.2">
      <c r="A353" s="26">
        <f t="shared" si="34"/>
        <v>282</v>
      </c>
      <c r="B353" s="22">
        <f t="shared" si="35"/>
        <v>167191.90734042579</v>
      </c>
      <c r="C353" s="28">
        <f t="shared" si="36"/>
        <v>-9086.0030854224769</v>
      </c>
      <c r="D353" s="28">
        <f t="shared" si="31"/>
        <v>539.01068258581734</v>
      </c>
      <c r="E353" s="28">
        <f t="shared" si="32"/>
        <v>-8546.9924028366604</v>
      </c>
      <c r="F353" s="23">
        <f t="shared" si="33"/>
        <v>158644.91493758914</v>
      </c>
    </row>
    <row r="354" spans="1:6" x14ac:dyDescent="0.2">
      <c r="A354" s="26">
        <f t="shared" si="34"/>
        <v>283</v>
      </c>
      <c r="B354" s="22">
        <f t="shared" si="35"/>
        <v>158644.91493758914</v>
      </c>
      <c r="C354" s="28">
        <f t="shared" si="36"/>
        <v>-9086.0030854224769</v>
      </c>
      <c r="D354" s="28">
        <f t="shared" si="31"/>
        <v>511.45599837656039</v>
      </c>
      <c r="E354" s="28">
        <f t="shared" si="32"/>
        <v>-8574.5470870459158</v>
      </c>
      <c r="F354" s="23">
        <f t="shared" si="33"/>
        <v>150070.36785054323</v>
      </c>
    </row>
    <row r="355" spans="1:6" x14ac:dyDescent="0.2">
      <c r="A355" s="26">
        <f t="shared" si="34"/>
        <v>284</v>
      </c>
      <c r="B355" s="22">
        <f t="shared" si="35"/>
        <v>150070.36785054323</v>
      </c>
      <c r="C355" s="28">
        <f t="shared" si="36"/>
        <v>-9086.0030854224769</v>
      </c>
      <c r="D355" s="28">
        <f t="shared" si="31"/>
        <v>483.81248050674935</v>
      </c>
      <c r="E355" s="28">
        <f t="shared" si="32"/>
        <v>-8602.1906049157278</v>
      </c>
      <c r="F355" s="23">
        <f t="shared" si="33"/>
        <v>141468.17724562751</v>
      </c>
    </row>
    <row r="356" spans="1:6" x14ac:dyDescent="0.2">
      <c r="A356" s="26">
        <f t="shared" si="34"/>
        <v>285</v>
      </c>
      <c r="B356" s="22">
        <f t="shared" si="35"/>
        <v>141468.17724562751</v>
      </c>
      <c r="C356" s="28">
        <f t="shared" si="36"/>
        <v>-9086.0030854224769</v>
      </c>
      <c r="D356" s="28">
        <f t="shared" si="31"/>
        <v>456.07984258517808</v>
      </c>
      <c r="E356" s="28">
        <f t="shared" si="32"/>
        <v>-8629.9232428372998</v>
      </c>
      <c r="F356" s="23">
        <f t="shared" si="33"/>
        <v>132838.2540027902</v>
      </c>
    </row>
    <row r="357" spans="1:6" x14ac:dyDescent="0.2">
      <c r="A357" s="26">
        <f t="shared" si="34"/>
        <v>286</v>
      </c>
      <c r="B357" s="22">
        <f t="shared" si="35"/>
        <v>132838.2540027902</v>
      </c>
      <c r="C357" s="28">
        <f t="shared" si="36"/>
        <v>-9086.0030854224769</v>
      </c>
      <c r="D357" s="28">
        <f t="shared" si="31"/>
        <v>428.25779729734239</v>
      </c>
      <c r="E357" s="28">
        <f t="shared" si="32"/>
        <v>-8657.7452881251338</v>
      </c>
      <c r="F357" s="23">
        <f t="shared" si="33"/>
        <v>124180.50871466506</v>
      </c>
    </row>
    <row r="358" spans="1:6" x14ac:dyDescent="0.2">
      <c r="A358" s="26">
        <f t="shared" si="34"/>
        <v>287</v>
      </c>
      <c r="B358" s="22">
        <f t="shared" si="35"/>
        <v>124180.50871466506</v>
      </c>
      <c r="C358" s="28">
        <f t="shared" si="36"/>
        <v>-9086.0030854224769</v>
      </c>
      <c r="D358" s="28">
        <f t="shared" si="31"/>
        <v>400.34605640246406</v>
      </c>
      <c r="E358" s="28">
        <f t="shared" si="32"/>
        <v>-8685.6570290200125</v>
      </c>
      <c r="F358" s="23">
        <f t="shared" si="33"/>
        <v>115494.85168564504</v>
      </c>
    </row>
    <row r="359" spans="1:6" x14ac:dyDescent="0.2">
      <c r="A359" s="26">
        <f t="shared" si="34"/>
        <v>288</v>
      </c>
      <c r="B359" s="22">
        <f t="shared" si="35"/>
        <v>115494.85168564504</v>
      </c>
      <c r="C359" s="28">
        <f t="shared" si="36"/>
        <v>-9086.0030854224769</v>
      </c>
      <c r="D359" s="28">
        <f t="shared" si="31"/>
        <v>372.34433073050394</v>
      </c>
      <c r="E359" s="28">
        <f t="shared" si="32"/>
        <v>-8713.6587546919727</v>
      </c>
      <c r="F359" s="23">
        <f t="shared" si="33"/>
        <v>106781.19293095307</v>
      </c>
    </row>
    <row r="360" spans="1:6" x14ac:dyDescent="0.2">
      <c r="A360" s="26">
        <f t="shared" si="34"/>
        <v>289</v>
      </c>
      <c r="B360" s="22">
        <f t="shared" si="35"/>
        <v>106781.19293095307</v>
      </c>
      <c r="C360" s="28">
        <f t="shared" si="36"/>
        <v>-9086.0030854224769</v>
      </c>
      <c r="D360" s="28">
        <f t="shared" si="31"/>
        <v>344.25233017916645</v>
      </c>
      <c r="E360" s="28">
        <f t="shared" si="32"/>
        <v>-8741.7507552433108</v>
      </c>
      <c r="F360" s="23">
        <f t="shared" si="33"/>
        <v>98039.442175709759</v>
      </c>
    </row>
    <row r="361" spans="1:6" x14ac:dyDescent="0.2">
      <c r="A361" s="26">
        <f t="shared" si="34"/>
        <v>290</v>
      </c>
      <c r="B361" s="22">
        <f t="shared" si="35"/>
        <v>98039.442175709759</v>
      </c>
      <c r="C361" s="28">
        <f t="shared" si="36"/>
        <v>-9086.0030854224769</v>
      </c>
      <c r="D361" s="28">
        <f t="shared" si="31"/>
        <v>316.06976371089411</v>
      </c>
      <c r="E361" s="28">
        <f t="shared" si="32"/>
        <v>-8769.9333217115836</v>
      </c>
      <c r="F361" s="23">
        <f t="shared" si="33"/>
        <v>89269.508853998181</v>
      </c>
    </row>
    <row r="362" spans="1:6" x14ac:dyDescent="0.2">
      <c r="A362" s="26">
        <f t="shared" si="34"/>
        <v>291</v>
      </c>
      <c r="B362" s="22">
        <f t="shared" si="35"/>
        <v>89269.508853998181</v>
      </c>
      <c r="C362" s="28">
        <f t="shared" si="36"/>
        <v>-9086.0030854224769</v>
      </c>
      <c r="D362" s="28">
        <f t="shared" si="31"/>
        <v>287.79633934985219</v>
      </c>
      <c r="E362" s="28">
        <f t="shared" si="32"/>
        <v>-8798.2067460726248</v>
      </c>
      <c r="F362" s="23">
        <f t="shared" si="33"/>
        <v>80471.302107925556</v>
      </c>
    </row>
    <row r="363" spans="1:6" x14ac:dyDescent="0.2">
      <c r="A363" s="26">
        <f t="shared" si="34"/>
        <v>292</v>
      </c>
      <c r="B363" s="22">
        <f t="shared" si="35"/>
        <v>80471.302107925556</v>
      </c>
      <c r="C363" s="28">
        <f t="shared" si="36"/>
        <v>-9086.0030854224769</v>
      </c>
      <c r="D363" s="28">
        <f t="shared" si="31"/>
        <v>259.43176417890379</v>
      </c>
      <c r="E363" s="28">
        <f t="shared" si="32"/>
        <v>-8826.571321243573</v>
      </c>
      <c r="F363" s="23">
        <f t="shared" si="33"/>
        <v>71644.73078668199</v>
      </c>
    </row>
    <row r="364" spans="1:6" x14ac:dyDescent="0.2">
      <c r="A364" s="26">
        <f t="shared" si="34"/>
        <v>293</v>
      </c>
      <c r="B364" s="22">
        <f t="shared" si="35"/>
        <v>71644.73078668199</v>
      </c>
      <c r="C364" s="28">
        <f t="shared" si="36"/>
        <v>-9086.0030854224769</v>
      </c>
      <c r="D364" s="28">
        <f t="shared" si="31"/>
        <v>230.97574433657533</v>
      </c>
      <c r="E364" s="28">
        <f t="shared" si="32"/>
        <v>-8855.0273410859008</v>
      </c>
      <c r="F364" s="23">
        <f t="shared" si="33"/>
        <v>62789.703445596089</v>
      </c>
    </row>
    <row r="365" spans="1:6" x14ac:dyDescent="0.2">
      <c r="A365" s="26">
        <f t="shared" si="34"/>
        <v>294</v>
      </c>
      <c r="B365" s="22">
        <f t="shared" si="35"/>
        <v>62789.703445596089</v>
      </c>
      <c r="C365" s="28">
        <f t="shared" si="36"/>
        <v>-9086.0030854224769</v>
      </c>
      <c r="D365" s="28">
        <f t="shared" si="31"/>
        <v>202.42798501401199</v>
      </c>
      <c r="E365" s="28">
        <f t="shared" si="32"/>
        <v>-8883.575100408465</v>
      </c>
      <c r="F365" s="23">
        <f t="shared" si="33"/>
        <v>53906.128345187622</v>
      </c>
    </row>
    <row r="366" spans="1:6" x14ac:dyDescent="0.2">
      <c r="A366" s="26">
        <f t="shared" si="34"/>
        <v>295</v>
      </c>
      <c r="B366" s="22">
        <f t="shared" si="35"/>
        <v>53906.128345187622</v>
      </c>
      <c r="C366" s="28">
        <f t="shared" si="36"/>
        <v>-9086.0030854224769</v>
      </c>
      <c r="D366" s="28">
        <f t="shared" si="31"/>
        <v>173.78819045192344</v>
      </c>
      <c r="E366" s="28">
        <f t="shared" si="32"/>
        <v>-8912.2148949705534</v>
      </c>
      <c r="F366" s="23">
        <f t="shared" si="33"/>
        <v>44993.913450217071</v>
      </c>
    </row>
    <row r="367" spans="1:6" x14ac:dyDescent="0.2">
      <c r="A367" s="26">
        <f t="shared" si="34"/>
        <v>296</v>
      </c>
      <c r="B367" s="22">
        <f t="shared" si="35"/>
        <v>44993.913450217071</v>
      </c>
      <c r="C367" s="28">
        <f t="shared" si="36"/>
        <v>-9086.0030854224769</v>
      </c>
      <c r="D367" s="28">
        <f t="shared" si="31"/>
        <v>145.05606393751981</v>
      </c>
      <c r="E367" s="28">
        <f t="shared" si="32"/>
        <v>-8940.9470214849571</v>
      </c>
      <c r="F367" s="23">
        <f t="shared" si="33"/>
        <v>36052.966428732114</v>
      </c>
    </row>
    <row r="368" spans="1:6" x14ac:dyDescent="0.2">
      <c r="A368" s="26">
        <f t="shared" si="34"/>
        <v>297</v>
      </c>
      <c r="B368" s="22">
        <f t="shared" si="35"/>
        <v>36052.966428732114</v>
      </c>
      <c r="C368" s="28">
        <f t="shared" si="36"/>
        <v>-9086.0030854224769</v>
      </c>
      <c r="D368" s="28">
        <f t="shared" si="31"/>
        <v>116.23130780143752</v>
      </c>
      <c r="E368" s="28">
        <f t="shared" si="32"/>
        <v>-8969.7717776210393</v>
      </c>
      <c r="F368" s="23">
        <f t="shared" si="33"/>
        <v>27083.194651111073</v>
      </c>
    </row>
    <row r="369" spans="1:6" x14ac:dyDescent="0.2">
      <c r="A369" s="26">
        <f t="shared" si="34"/>
        <v>298</v>
      </c>
      <c r="B369" s="22">
        <f t="shared" si="35"/>
        <v>27083.194651111073</v>
      </c>
      <c r="C369" s="28">
        <f t="shared" si="36"/>
        <v>-9086.0030854224769</v>
      </c>
      <c r="D369" s="28">
        <f t="shared" si="31"/>
        <v>87.313623414655623</v>
      </c>
      <c r="E369" s="28">
        <f t="shared" si="32"/>
        <v>-8998.6894620078219</v>
      </c>
      <c r="F369" s="23">
        <f t="shared" si="33"/>
        <v>18084.505189103249</v>
      </c>
    </row>
    <row r="370" spans="1:6" x14ac:dyDescent="0.2">
      <c r="A370" s="26">
        <f t="shared" si="34"/>
        <v>299</v>
      </c>
      <c r="B370" s="22">
        <f t="shared" si="35"/>
        <v>18084.505189103249</v>
      </c>
      <c r="C370" s="28">
        <f t="shared" si="36"/>
        <v>-9086.0030854224769</v>
      </c>
      <c r="D370" s="28">
        <f t="shared" si="31"/>
        <v>58.302711185401762</v>
      </c>
      <c r="E370" s="28">
        <f t="shared" si="32"/>
        <v>-9027.7003742370744</v>
      </c>
      <c r="F370" s="23">
        <f t="shared" si="33"/>
        <v>9056.8048148661746</v>
      </c>
    </row>
    <row r="371" spans="1:6" x14ac:dyDescent="0.2">
      <c r="A371" s="27">
        <f t="shared" si="34"/>
        <v>300</v>
      </c>
      <c r="B371" s="24">
        <f t="shared" si="35"/>
        <v>9056.8048148661746</v>
      </c>
      <c r="C371" s="29">
        <f t="shared" si="36"/>
        <v>-9086.0030854224769</v>
      </c>
      <c r="D371" s="29">
        <f t="shared" si="31"/>
        <v>29.198270556048442</v>
      </c>
      <c r="E371" s="29">
        <f t="shared" si="32"/>
        <v>-9056.8048148664293</v>
      </c>
      <c r="F371" s="25">
        <f>+B371+E371</f>
        <v>-2.5465851649641991E-10</v>
      </c>
    </row>
  </sheetData>
  <mergeCells count="6">
    <mergeCell ref="A70:F70"/>
    <mergeCell ref="A3:B3"/>
    <mergeCell ref="A44:G44"/>
    <mergeCell ref="A57:G57"/>
    <mergeCell ref="C28:H28"/>
    <mergeCell ref="A27:H27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D030-B636-4D29-943E-DD04FC225D77}">
  <dimension ref="A1:AC371"/>
  <sheetViews>
    <sheetView showGridLines="0" workbookViewId="0">
      <selection activeCell="F23" sqref="F23"/>
    </sheetView>
  </sheetViews>
  <sheetFormatPr defaultRowHeight="15" x14ac:dyDescent="0.2"/>
  <cols>
    <col min="1" max="1" width="37.53125" customWidth="1"/>
    <col min="2" max="7" width="13.98828125" customWidth="1"/>
    <col min="8" max="8" width="11.97265625" customWidth="1"/>
    <col min="20" max="20" width="5.6484375" customWidth="1"/>
    <col min="21" max="21" width="16.140625" customWidth="1"/>
    <col min="22" max="22" width="10.22265625" customWidth="1"/>
    <col min="23" max="23" width="16.54296875" customWidth="1"/>
    <col min="27" max="27" width="10.625" customWidth="1"/>
  </cols>
  <sheetData>
    <row r="1" spans="1:7" ht="23.25" x14ac:dyDescent="0.3">
      <c r="A1" s="30" t="s">
        <v>46</v>
      </c>
    </row>
    <row r="3" spans="1:7" x14ac:dyDescent="0.2">
      <c r="A3" s="127" t="s">
        <v>25</v>
      </c>
      <c r="B3" s="129"/>
      <c r="D3" t="s">
        <v>78</v>
      </c>
      <c r="F3" s="122">
        <f>+$B$34</f>
        <v>168096</v>
      </c>
    </row>
    <row r="4" spans="1:7" x14ac:dyDescent="0.2">
      <c r="A4" s="55" t="s">
        <v>40</v>
      </c>
      <c r="B4" s="56" t="s">
        <v>71</v>
      </c>
      <c r="D4" t="s">
        <v>79</v>
      </c>
      <c r="F4" s="126">
        <f>2.5%*F3</f>
        <v>4202.4000000000005</v>
      </c>
    </row>
    <row r="5" spans="1:7" x14ac:dyDescent="0.2">
      <c r="A5" s="76" t="s">
        <v>22</v>
      </c>
      <c r="B5" s="78">
        <v>2685000</v>
      </c>
      <c r="D5" t="s">
        <v>80</v>
      </c>
      <c r="F5" s="123">
        <f>F3-F4</f>
        <v>163893.6</v>
      </c>
    </row>
    <row r="6" spans="1:7" x14ac:dyDescent="0.2">
      <c r="A6" s="3" t="s">
        <v>62</v>
      </c>
      <c r="B6" s="4">
        <f>+C36</f>
        <v>116134.148</v>
      </c>
      <c r="D6" t="s">
        <v>81</v>
      </c>
      <c r="E6" s="2"/>
      <c r="F6" s="124">
        <v>0</v>
      </c>
    </row>
    <row r="7" spans="1:7" x14ac:dyDescent="0.2">
      <c r="A7" s="3" t="s">
        <v>41</v>
      </c>
      <c r="B7" s="81">
        <f>B6/B5</f>
        <v>4.3252941527001862E-2</v>
      </c>
      <c r="D7" t="s">
        <v>82</v>
      </c>
      <c r="E7" s="2"/>
      <c r="F7" s="123">
        <f>F5</f>
        <v>163893.6</v>
      </c>
    </row>
    <row r="8" spans="1:7" x14ac:dyDescent="0.2">
      <c r="A8" s="3" t="s">
        <v>12</v>
      </c>
      <c r="B8" s="4">
        <v>2695000</v>
      </c>
      <c r="D8" t="s">
        <v>83</v>
      </c>
      <c r="E8" s="2"/>
      <c r="F8" s="125">
        <f>51142</f>
        <v>51142</v>
      </c>
    </row>
    <row r="9" spans="1:7" x14ac:dyDescent="0.2">
      <c r="A9" s="3" t="s">
        <v>11</v>
      </c>
      <c r="B9" s="82">
        <f>B6/B8</f>
        <v>4.3092448237476808E-2</v>
      </c>
      <c r="D9" t="s">
        <v>8</v>
      </c>
      <c r="E9" s="2"/>
      <c r="F9" s="123">
        <f>F7-F8</f>
        <v>112751.6</v>
      </c>
    </row>
    <row r="10" spans="1:7" x14ac:dyDescent="0.2">
      <c r="A10" s="3" t="s">
        <v>58</v>
      </c>
      <c r="B10" s="4">
        <f>0.02*B8</f>
        <v>53900</v>
      </c>
      <c r="E10" s="2"/>
    </row>
    <row r="11" spans="1:7" x14ac:dyDescent="0.2">
      <c r="A11" s="76" t="s">
        <v>34</v>
      </c>
      <c r="B11" s="79">
        <v>0.6</v>
      </c>
    </row>
    <row r="12" spans="1:7" x14ac:dyDescent="0.2">
      <c r="A12" s="3" t="s">
        <v>35</v>
      </c>
      <c r="B12" s="4">
        <f>B11*B8</f>
        <v>1617000</v>
      </c>
    </row>
    <row r="13" spans="1:7" x14ac:dyDescent="0.2">
      <c r="A13" s="76" t="s">
        <v>13</v>
      </c>
      <c r="B13" s="80">
        <v>4.2000000000000003E-2</v>
      </c>
      <c r="G13" s="2"/>
    </row>
    <row r="14" spans="1:7" x14ac:dyDescent="0.2">
      <c r="A14" s="3" t="s">
        <v>42</v>
      </c>
      <c r="B14" s="21">
        <f>NOMINAL(EFFECT(B13,2),12)/12</f>
        <v>3.4697622672070771E-3</v>
      </c>
      <c r="G14" s="2"/>
    </row>
    <row r="15" spans="1:7" x14ac:dyDescent="0.2">
      <c r="A15" s="76" t="s">
        <v>43</v>
      </c>
      <c r="B15" s="78">
        <v>25</v>
      </c>
      <c r="E15" t="s">
        <v>73</v>
      </c>
      <c r="F15" t="s">
        <v>74</v>
      </c>
      <c r="G15" s="121" t="s">
        <v>76</v>
      </c>
    </row>
    <row r="16" spans="1:7" x14ac:dyDescent="0.2">
      <c r="A16" s="3" t="s">
        <v>67</v>
      </c>
      <c r="B16" s="4">
        <f>B8-B12+B10</f>
        <v>1131900</v>
      </c>
      <c r="D16" t="s">
        <v>72</v>
      </c>
      <c r="E16" s="85">
        <f>B11</f>
        <v>0.6</v>
      </c>
      <c r="F16" s="86">
        <f>B13</f>
        <v>4.2000000000000003E-2</v>
      </c>
      <c r="G16" s="84"/>
    </row>
    <row r="17" spans="1:29" x14ac:dyDescent="0.2">
      <c r="A17" s="3" t="s">
        <v>23</v>
      </c>
      <c r="B17" s="5">
        <v>0.5</v>
      </c>
      <c r="D17" t="s">
        <v>75</v>
      </c>
      <c r="E17" s="87">
        <f>1-E16</f>
        <v>0.4</v>
      </c>
      <c r="F17" s="84">
        <v>8.7099999999999997E-2</v>
      </c>
      <c r="G17" s="84"/>
    </row>
    <row r="18" spans="1:29" x14ac:dyDescent="0.2">
      <c r="A18" s="3" t="s">
        <v>24</v>
      </c>
      <c r="B18" s="5">
        <v>0.5</v>
      </c>
      <c r="E18" s="84"/>
      <c r="F18" s="84">
        <f>(E16*F16)+(E17*F17)</f>
        <v>6.0040000000000003E-2</v>
      </c>
      <c r="G18" s="84">
        <v>0.06</v>
      </c>
    </row>
    <row r="19" spans="1:29" x14ac:dyDescent="0.2">
      <c r="A19" s="3" t="s">
        <v>68</v>
      </c>
      <c r="B19" s="4">
        <f>B17*B16</f>
        <v>565950</v>
      </c>
      <c r="E19" s="2"/>
    </row>
    <row r="20" spans="1:29" x14ac:dyDescent="0.2">
      <c r="A20" s="3" t="s">
        <v>69</v>
      </c>
      <c r="B20" s="4">
        <f>B18*B16</f>
        <v>565950</v>
      </c>
    </row>
    <row r="21" spans="1:29" x14ac:dyDescent="0.2">
      <c r="A21" s="76" t="s">
        <v>37</v>
      </c>
      <c r="B21" s="77">
        <v>4.4999999999999998E-2</v>
      </c>
    </row>
    <row r="22" spans="1:29" x14ac:dyDescent="0.2">
      <c r="A22" s="3" t="s">
        <v>59</v>
      </c>
      <c r="B22" s="135">
        <v>0.04</v>
      </c>
      <c r="C22" t="s">
        <v>85</v>
      </c>
    </row>
    <row r="23" spans="1:29" x14ac:dyDescent="0.2">
      <c r="A23" s="3" t="s">
        <v>38</v>
      </c>
      <c r="B23" s="82">
        <f>B21+0.015</f>
        <v>0.06</v>
      </c>
    </row>
    <row r="24" spans="1:29" x14ac:dyDescent="0.2">
      <c r="A24" s="6" t="s">
        <v>39</v>
      </c>
      <c r="B24" s="89">
        <f>F17</f>
        <v>8.7099999999999997E-2</v>
      </c>
      <c r="G24" s="2"/>
      <c r="T24" s="97"/>
      <c r="U24" s="97"/>
      <c r="V24" s="97"/>
      <c r="W24" s="97"/>
      <c r="X24" s="97"/>
      <c r="Y24" s="97"/>
      <c r="Z24" s="97"/>
      <c r="AA24" s="97"/>
      <c r="AB24" s="97"/>
      <c r="AC24" s="97"/>
    </row>
    <row r="25" spans="1:29" x14ac:dyDescent="0.2">
      <c r="G25" s="2"/>
      <c r="T25" s="97"/>
      <c r="U25" s="97"/>
      <c r="V25" s="97"/>
      <c r="W25" s="97"/>
      <c r="X25" s="97"/>
      <c r="Y25" s="97"/>
      <c r="Z25" s="97"/>
      <c r="AA25" s="97"/>
      <c r="AB25" s="97"/>
      <c r="AC25" s="97"/>
    </row>
    <row r="26" spans="1:29" x14ac:dyDescent="0.2">
      <c r="T26" s="97"/>
      <c r="U26" s="98"/>
      <c r="V26" s="99"/>
      <c r="W26" s="99"/>
      <c r="X26" s="100"/>
      <c r="Y26" s="99"/>
      <c r="Z26" s="99"/>
      <c r="AA26" s="99"/>
      <c r="AB26" s="101"/>
      <c r="AC26" s="97"/>
    </row>
    <row r="27" spans="1:29" x14ac:dyDescent="0.2">
      <c r="A27" s="127" t="s">
        <v>26</v>
      </c>
      <c r="B27" s="128"/>
      <c r="C27" s="128"/>
      <c r="D27" s="128"/>
      <c r="E27" s="128"/>
      <c r="F27" s="128"/>
      <c r="G27" s="128"/>
      <c r="H27" s="129"/>
      <c r="T27" s="97"/>
      <c r="U27" s="102"/>
      <c r="V27" s="103"/>
      <c r="W27" s="104"/>
      <c r="X27" s="104"/>
      <c r="Y27" s="104"/>
      <c r="Z27" s="104"/>
      <c r="AA27" s="104"/>
      <c r="AB27" s="104"/>
      <c r="AC27" s="97"/>
    </row>
    <row r="28" spans="1:29" x14ac:dyDescent="0.2">
      <c r="A28" s="3"/>
      <c r="B28" s="52" t="s">
        <v>20</v>
      </c>
      <c r="C28" s="131" t="s">
        <v>21</v>
      </c>
      <c r="D28" s="132"/>
      <c r="E28" s="132"/>
      <c r="F28" s="132"/>
      <c r="G28" s="132"/>
      <c r="H28" s="133"/>
      <c r="T28" s="97"/>
      <c r="U28" s="102"/>
      <c r="V28" s="103"/>
      <c r="W28" s="104"/>
      <c r="X28" s="104"/>
      <c r="Y28" s="104"/>
      <c r="Z28" s="104"/>
      <c r="AA28" s="104"/>
      <c r="AB28" s="104"/>
      <c r="AC28" s="97"/>
    </row>
    <row r="29" spans="1:29" x14ac:dyDescent="0.2">
      <c r="A29" s="3"/>
      <c r="B29" s="11" t="s">
        <v>19</v>
      </c>
      <c r="C29" s="11" t="s">
        <v>0</v>
      </c>
      <c r="D29" s="11" t="s">
        <v>1</v>
      </c>
      <c r="E29" s="11" t="s">
        <v>2</v>
      </c>
      <c r="F29" s="11" t="s">
        <v>3</v>
      </c>
      <c r="G29" s="11" t="s">
        <v>4</v>
      </c>
      <c r="H29" s="11" t="s">
        <v>57</v>
      </c>
      <c r="T29" s="97"/>
      <c r="U29" s="102"/>
      <c r="V29" s="104"/>
      <c r="W29" s="104"/>
      <c r="X29" s="104"/>
      <c r="Y29" s="104"/>
      <c r="Z29" s="104"/>
      <c r="AA29" s="104"/>
      <c r="AB29" s="103"/>
      <c r="AC29" s="97"/>
    </row>
    <row r="30" spans="1:29" x14ac:dyDescent="0.2">
      <c r="A30" s="3"/>
      <c r="B30" s="12"/>
      <c r="C30" s="12"/>
      <c r="D30" s="12"/>
      <c r="E30" s="16"/>
      <c r="F30" s="16"/>
      <c r="G30" s="16"/>
      <c r="H30" s="16"/>
      <c r="T30" s="97"/>
      <c r="U30" s="102"/>
      <c r="V30" s="104"/>
      <c r="W30" s="105"/>
      <c r="X30" s="103"/>
      <c r="Y30" s="103"/>
      <c r="Z30" s="103"/>
      <c r="AA30" s="103"/>
      <c r="AB30" s="103"/>
      <c r="AC30" s="97"/>
    </row>
    <row r="31" spans="1:29" x14ac:dyDescent="0.2">
      <c r="A31" s="3" t="s">
        <v>64</v>
      </c>
      <c r="B31" s="12"/>
      <c r="C31" s="72">
        <v>0.03</v>
      </c>
      <c r="D31" s="72">
        <v>0.03</v>
      </c>
      <c r="E31" s="72">
        <v>0.03</v>
      </c>
      <c r="F31" s="72">
        <v>0.03</v>
      </c>
      <c r="G31" s="72">
        <v>0.03</v>
      </c>
      <c r="H31" s="72">
        <v>0.03</v>
      </c>
      <c r="T31" s="97"/>
      <c r="U31" s="102"/>
      <c r="V31" s="106"/>
      <c r="W31" s="104"/>
      <c r="X31" s="104"/>
      <c r="Y31" s="104"/>
      <c r="Z31" s="104"/>
      <c r="AA31" s="104"/>
      <c r="AB31" s="104"/>
      <c r="AC31" s="97"/>
    </row>
    <row r="32" spans="1:29" x14ac:dyDescent="0.2">
      <c r="A32" s="3" t="s">
        <v>65</v>
      </c>
      <c r="B32" s="12"/>
      <c r="C32" s="72">
        <v>0.03</v>
      </c>
      <c r="D32" s="72">
        <v>0.03</v>
      </c>
      <c r="E32" s="72">
        <v>0.03</v>
      </c>
      <c r="F32" s="72">
        <v>0.03</v>
      </c>
      <c r="G32" s="72">
        <v>0.03</v>
      </c>
      <c r="H32" s="72">
        <v>0.03</v>
      </c>
      <c r="T32" s="97"/>
      <c r="U32" s="102"/>
      <c r="V32" s="107"/>
      <c r="W32" s="106"/>
      <c r="X32" s="104"/>
      <c r="Y32" s="104"/>
      <c r="Z32" s="104"/>
      <c r="AA32" s="104"/>
      <c r="AB32" s="104"/>
      <c r="AC32" s="97"/>
    </row>
    <row r="33" spans="1:29" x14ac:dyDescent="0.2">
      <c r="A33" s="3"/>
      <c r="B33" s="95"/>
      <c r="C33" s="12"/>
      <c r="D33" s="12"/>
      <c r="E33" s="12"/>
      <c r="F33" s="12"/>
      <c r="G33" s="12"/>
      <c r="H33" s="12"/>
      <c r="T33" s="97"/>
      <c r="U33" s="102"/>
      <c r="V33" s="108"/>
      <c r="W33" s="104"/>
      <c r="X33" s="104"/>
      <c r="Y33" s="104"/>
      <c r="Z33" s="104"/>
      <c r="AA33" s="104"/>
      <c r="AB33" s="106"/>
      <c r="AC33" s="97"/>
    </row>
    <row r="34" spans="1:29" x14ac:dyDescent="0.2">
      <c r="A34" s="3" t="s">
        <v>6</v>
      </c>
      <c r="B34" s="13">
        <v>168096</v>
      </c>
      <c r="C34" s="13">
        <f t="shared" ref="C34:H35" si="0">B34*(1+C31)</f>
        <v>173138.88</v>
      </c>
      <c r="D34" s="13">
        <f t="shared" si="0"/>
        <v>178333.04640000002</v>
      </c>
      <c r="E34" s="13">
        <f t="shared" si="0"/>
        <v>183683.03779200002</v>
      </c>
      <c r="F34" s="13">
        <f t="shared" si="0"/>
        <v>189193.52892576001</v>
      </c>
      <c r="G34" s="13">
        <f t="shared" si="0"/>
        <v>194869.33479353282</v>
      </c>
      <c r="H34" s="13">
        <f t="shared" si="0"/>
        <v>200715.41483733882</v>
      </c>
      <c r="T34" s="97"/>
      <c r="U34" s="97"/>
      <c r="V34" s="97"/>
      <c r="W34" s="97"/>
      <c r="X34" s="97"/>
      <c r="Y34" s="97"/>
      <c r="Z34" s="97"/>
      <c r="AA34" s="97"/>
      <c r="AB34" s="97"/>
      <c r="AC34" s="97"/>
    </row>
    <row r="35" spans="1:29" x14ac:dyDescent="0.2">
      <c r="A35" s="3" t="s">
        <v>7</v>
      </c>
      <c r="B35" s="13">
        <f>F4+F8</f>
        <v>55344.4</v>
      </c>
      <c r="C35" s="14">
        <f t="shared" si="0"/>
        <v>57004.732000000004</v>
      </c>
      <c r="D35" s="14">
        <f t="shared" si="0"/>
        <v>58714.873960000004</v>
      </c>
      <c r="E35" s="14">
        <f t="shared" si="0"/>
        <v>60476.320178800008</v>
      </c>
      <c r="F35" s="14">
        <f t="shared" si="0"/>
        <v>62290.609784164008</v>
      </c>
      <c r="G35" s="14">
        <f t="shared" si="0"/>
        <v>64159.32807768893</v>
      </c>
      <c r="H35" s="14">
        <f t="shared" si="0"/>
        <v>66084.107920019596</v>
      </c>
      <c r="T35" s="97"/>
      <c r="U35" s="97"/>
      <c r="V35" s="97"/>
      <c r="W35" s="97"/>
      <c r="X35" s="97"/>
      <c r="Y35" s="97"/>
      <c r="Z35" s="97"/>
      <c r="AA35" s="97"/>
      <c r="AB35" s="97"/>
      <c r="AC35" s="97"/>
    </row>
    <row r="36" spans="1:29" x14ac:dyDescent="0.2">
      <c r="A36" s="3" t="s">
        <v>8</v>
      </c>
      <c r="B36" s="71">
        <f>B34-B35</f>
        <v>112751.6</v>
      </c>
      <c r="C36" s="4">
        <f t="shared" ref="C36:H36" si="1">+C34-C35</f>
        <v>116134.148</v>
      </c>
      <c r="D36" s="13">
        <f t="shared" si="1"/>
        <v>119618.17244000002</v>
      </c>
      <c r="E36" s="13">
        <f t="shared" si="1"/>
        <v>123206.71761320002</v>
      </c>
      <c r="F36" s="13">
        <f t="shared" si="1"/>
        <v>126902.91914159601</v>
      </c>
      <c r="G36" s="13">
        <f t="shared" si="1"/>
        <v>130710.00671584389</v>
      </c>
      <c r="H36" s="13">
        <f t="shared" si="1"/>
        <v>134631.30691731922</v>
      </c>
      <c r="T36" s="97"/>
      <c r="U36" s="97"/>
      <c r="V36" s="109"/>
      <c r="W36" s="97"/>
      <c r="X36" s="97"/>
      <c r="Y36" s="97"/>
      <c r="Z36" s="97"/>
      <c r="AA36" s="97"/>
      <c r="AB36" s="97"/>
      <c r="AC36" s="97"/>
    </row>
    <row r="37" spans="1:29" x14ac:dyDescent="0.2">
      <c r="A37" s="3" t="s">
        <v>66</v>
      </c>
      <c r="B37" s="13"/>
      <c r="C37" s="13"/>
      <c r="D37" s="13"/>
      <c r="E37" s="13"/>
      <c r="F37" s="13"/>
      <c r="G37" s="13"/>
      <c r="H37" s="13"/>
      <c r="V37" s="2"/>
    </row>
    <row r="38" spans="1:29" x14ac:dyDescent="0.2">
      <c r="A38" s="3" t="s">
        <v>9</v>
      </c>
      <c r="B38" s="13"/>
      <c r="C38" s="14">
        <f>$C$72*12</f>
        <v>-104183.61746933083</v>
      </c>
      <c r="D38" s="14">
        <f t="shared" ref="C38:H38" si="2">$C$72*12</f>
        <v>-104183.61746933083</v>
      </c>
      <c r="E38" s="14">
        <f t="shared" si="2"/>
        <v>-104183.61746933083</v>
      </c>
      <c r="F38" s="14">
        <f t="shared" si="2"/>
        <v>-104183.61746933083</v>
      </c>
      <c r="G38" s="14">
        <f t="shared" si="2"/>
        <v>-104183.61746933083</v>
      </c>
      <c r="H38" s="14">
        <f t="shared" si="2"/>
        <v>-104183.61746933083</v>
      </c>
    </row>
    <row r="39" spans="1:29" x14ac:dyDescent="0.2">
      <c r="A39" s="6" t="s">
        <v>10</v>
      </c>
      <c r="B39" s="14">
        <f>+B36-B37+B38</f>
        <v>112751.6</v>
      </c>
      <c r="C39" s="14">
        <f>+C36-C37+C38</f>
        <v>11950.530530669173</v>
      </c>
      <c r="D39" s="14">
        <f t="shared" ref="D39:H39" si="3">+D36-D37+D38</f>
        <v>15434.554970669196</v>
      </c>
      <c r="E39" s="14">
        <f t="shared" si="3"/>
        <v>19023.100143869189</v>
      </c>
      <c r="F39" s="14">
        <f t="shared" si="3"/>
        <v>22719.301672265181</v>
      </c>
      <c r="G39" s="14">
        <f t="shared" si="3"/>
        <v>26526.389246513063</v>
      </c>
      <c r="H39" s="14">
        <f t="shared" si="3"/>
        <v>30447.689447988392</v>
      </c>
      <c r="V39" s="84"/>
    </row>
    <row r="40" spans="1:29" x14ac:dyDescent="0.2">
      <c r="V40" s="83"/>
    </row>
    <row r="42" spans="1:29" x14ac:dyDescent="0.2">
      <c r="D42" s="1"/>
    </row>
    <row r="44" spans="1:29" x14ac:dyDescent="0.2">
      <c r="A44" s="130" t="s">
        <v>33</v>
      </c>
      <c r="B44" s="130"/>
      <c r="C44" s="130"/>
      <c r="D44" s="130"/>
      <c r="E44" s="130"/>
      <c r="F44" s="130"/>
      <c r="G44" s="130"/>
    </row>
    <row r="45" spans="1:29" x14ac:dyDescent="0.2">
      <c r="A45" s="17"/>
      <c r="B45" s="20" t="s">
        <v>5</v>
      </c>
      <c r="C45" s="15" t="s">
        <v>0</v>
      </c>
      <c r="D45" s="15" t="s">
        <v>1</v>
      </c>
      <c r="E45" s="15" t="s">
        <v>2</v>
      </c>
      <c r="F45" s="15" t="s">
        <v>3</v>
      </c>
      <c r="G45" s="15" t="s">
        <v>4</v>
      </c>
    </row>
    <row r="46" spans="1:29" x14ac:dyDescent="0.2">
      <c r="A46" s="57" t="s">
        <v>70</v>
      </c>
      <c r="B46" s="4">
        <f>-B8-B10</f>
        <v>-2748900</v>
      </c>
      <c r="C46" s="58"/>
      <c r="D46" s="58"/>
      <c r="E46" s="58"/>
      <c r="F46" s="58"/>
      <c r="G46" s="58"/>
    </row>
    <row r="47" spans="1:29" x14ac:dyDescent="0.2">
      <c r="A47" s="13" t="s">
        <v>10</v>
      </c>
      <c r="B47" s="13"/>
      <c r="C47" s="13">
        <f>C39-C38</f>
        <v>116134.148</v>
      </c>
      <c r="D47" s="13">
        <f>D39-D38</f>
        <v>119618.17244000002</v>
      </c>
      <c r="E47" s="13">
        <f>E39-E38</f>
        <v>123206.71761320002</v>
      </c>
      <c r="F47" s="13">
        <f>F39-F38</f>
        <v>126902.91914159601</v>
      </c>
      <c r="G47" s="13">
        <f>G39-G38</f>
        <v>130710.00671584389</v>
      </c>
    </row>
    <row r="48" spans="1:29" x14ac:dyDescent="0.2">
      <c r="A48" s="14" t="s">
        <v>27</v>
      </c>
      <c r="B48" s="14"/>
      <c r="C48" s="14"/>
      <c r="D48" s="14"/>
      <c r="E48" s="14"/>
      <c r="F48" s="8"/>
      <c r="G48" s="8">
        <f>(H36/$B$21)*(1-B22)</f>
        <v>2872134.5475694765</v>
      </c>
    </row>
    <row r="49" spans="1:7" x14ac:dyDescent="0.2">
      <c r="A49" s="14"/>
      <c r="B49" s="14">
        <f t="shared" ref="B49:G49" si="4">SUM(B46:B48)</f>
        <v>-2748900</v>
      </c>
      <c r="C49" s="14">
        <f t="shared" si="4"/>
        <v>116134.148</v>
      </c>
      <c r="D49" s="14">
        <f t="shared" si="4"/>
        <v>119618.17244000002</v>
      </c>
      <c r="E49" s="14">
        <f t="shared" si="4"/>
        <v>123206.71761320002</v>
      </c>
      <c r="F49" s="14">
        <f t="shared" si="4"/>
        <v>126902.91914159601</v>
      </c>
      <c r="G49" s="14">
        <f t="shared" si="4"/>
        <v>3002844.5542853205</v>
      </c>
    </row>
    <row r="52" spans="1:7" x14ac:dyDescent="0.2">
      <c r="A52" s="18" t="s">
        <v>30</v>
      </c>
      <c r="B52" s="19">
        <f>IRR(B49:G49)</f>
        <v>5.2791467038870721E-2</v>
      </c>
    </row>
    <row r="53" spans="1:7" x14ac:dyDescent="0.2">
      <c r="A53" s="18" t="s">
        <v>31</v>
      </c>
      <c r="B53" s="40">
        <f>NPV(B23,C49:G49)+B49</f>
        <v>-85013.866344597191</v>
      </c>
    </row>
    <row r="57" spans="1:7" x14ac:dyDescent="0.2">
      <c r="A57" s="130" t="s">
        <v>32</v>
      </c>
      <c r="B57" s="130"/>
      <c r="C57" s="130"/>
      <c r="D57" s="130"/>
      <c r="E57" s="130"/>
      <c r="F57" s="130"/>
      <c r="G57" s="130"/>
    </row>
    <row r="58" spans="1:7" x14ac:dyDescent="0.2">
      <c r="A58" s="17"/>
      <c r="B58" s="20" t="s">
        <v>5</v>
      </c>
      <c r="C58" s="15" t="s">
        <v>0</v>
      </c>
      <c r="D58" s="15" t="s">
        <v>1</v>
      </c>
      <c r="E58" s="15" t="s">
        <v>2</v>
      </c>
      <c r="F58" s="15" t="s">
        <v>3</v>
      </c>
      <c r="G58" s="15" t="s">
        <v>4</v>
      </c>
    </row>
    <row r="59" spans="1:7" x14ac:dyDescent="0.2">
      <c r="A59" t="s">
        <v>70</v>
      </c>
      <c r="B59" s="71">
        <f>-B8-B10</f>
        <v>-2748900</v>
      </c>
      <c r="C59" s="13"/>
      <c r="D59" s="13"/>
      <c r="E59" s="13"/>
      <c r="F59" s="13"/>
      <c r="G59" s="13"/>
    </row>
    <row r="60" spans="1:7" x14ac:dyDescent="0.2">
      <c r="A60" s="69" t="s">
        <v>10</v>
      </c>
      <c r="B60" s="13">
        <f>B12</f>
        <v>1617000</v>
      </c>
      <c r="C60" s="13" cm="1">
        <f t="array" ref="C60:G60">C39:G39</f>
        <v>11950.530530669173</v>
      </c>
      <c r="D60" s="13">
        <v>15434.554970669196</v>
      </c>
      <c r="E60" s="13">
        <v>19023.100143869189</v>
      </c>
      <c r="F60" s="4">
        <v>22719.301672265181</v>
      </c>
      <c r="G60" s="4">
        <v>26526.389246513063</v>
      </c>
    </row>
    <row r="61" spans="1:7" x14ac:dyDescent="0.2">
      <c r="A61" s="70" t="s">
        <v>27</v>
      </c>
      <c r="B61" s="14"/>
      <c r="C61" s="14"/>
      <c r="D61" s="14"/>
      <c r="E61" s="14"/>
      <c r="F61" s="8"/>
      <c r="G61" s="8">
        <f>((H36/B21)*(1-B22))-F131</f>
        <v>1459609.4333714768</v>
      </c>
    </row>
    <row r="62" spans="1:7" x14ac:dyDescent="0.2">
      <c r="A62" s="14"/>
      <c r="B62" s="14">
        <f t="shared" ref="B62:G62" si="5">SUM(B59:B61)</f>
        <v>-1131900</v>
      </c>
      <c r="C62" s="14">
        <f t="shared" si="5"/>
        <v>11950.530530669173</v>
      </c>
      <c r="D62" s="14">
        <f t="shared" si="5"/>
        <v>15434.554970669196</v>
      </c>
      <c r="E62" s="14">
        <f t="shared" si="5"/>
        <v>19023.100143869189</v>
      </c>
      <c r="F62" s="14">
        <f t="shared" si="5"/>
        <v>22719.301672265181</v>
      </c>
      <c r="G62" s="14">
        <f>SUM(G59:G61)</f>
        <v>1486135.82261799</v>
      </c>
    </row>
    <row r="65" spans="1:6" x14ac:dyDescent="0.2">
      <c r="A65" s="18" t="s">
        <v>28</v>
      </c>
      <c r="B65" s="19">
        <f>IRR(B62:G62)</f>
        <v>6.7119594792242498E-2</v>
      </c>
    </row>
    <row r="66" spans="1:6" x14ac:dyDescent="0.2">
      <c r="A66" s="18" t="s">
        <v>29</v>
      </c>
      <c r="B66" s="40">
        <f>NPV(B24,C62:G62)+B62</f>
        <v>-97933.593841837137</v>
      </c>
    </row>
    <row r="70" spans="1:6" x14ac:dyDescent="0.2">
      <c r="A70" s="127" t="s">
        <v>44</v>
      </c>
      <c r="B70" s="128"/>
      <c r="C70" s="128"/>
      <c r="D70" s="128"/>
      <c r="E70" s="128"/>
      <c r="F70" s="129"/>
    </row>
    <row r="71" spans="1:6" x14ac:dyDescent="0.2">
      <c r="A71" s="15" t="s">
        <v>14</v>
      </c>
      <c r="B71" s="9" t="s">
        <v>15</v>
      </c>
      <c r="C71" s="15" t="s">
        <v>14</v>
      </c>
      <c r="D71" s="15" t="s">
        <v>16</v>
      </c>
      <c r="E71" s="15" t="s">
        <v>17</v>
      </c>
      <c r="F71" s="10" t="s">
        <v>18</v>
      </c>
    </row>
    <row r="72" spans="1:6" x14ac:dyDescent="0.2">
      <c r="A72" s="26">
        <v>1</v>
      </c>
      <c r="B72" s="22">
        <f>+B12</f>
        <v>1617000</v>
      </c>
      <c r="C72" s="28">
        <f>PMT($B$14,$B$15*12,B72,0)</f>
        <v>-8681.9681224442356</v>
      </c>
      <c r="D72" s="28">
        <f t="shared" ref="D72:D135" si="6">+B72*$B$14</f>
        <v>5610.6055860738434</v>
      </c>
      <c r="E72" s="28">
        <f t="shared" ref="E72:E135" si="7">+C72+D72</f>
        <v>-3071.3625363703923</v>
      </c>
      <c r="F72" s="23">
        <f t="shared" ref="F72:F135" si="8">+B72+E72</f>
        <v>1613928.6374636297</v>
      </c>
    </row>
    <row r="73" spans="1:6" x14ac:dyDescent="0.2">
      <c r="A73" s="26">
        <f t="shared" ref="A73:A136" si="9">1+A72</f>
        <v>2</v>
      </c>
      <c r="B73" s="22">
        <f t="shared" ref="B73:B136" si="10">F72</f>
        <v>1613928.6374636297</v>
      </c>
      <c r="C73" s="28">
        <f t="shared" ref="C73:C136" si="11">C72</f>
        <v>-8681.9681224442356</v>
      </c>
      <c r="D73" s="28">
        <f t="shared" si="6"/>
        <v>5599.9486882362326</v>
      </c>
      <c r="E73" s="28">
        <f t="shared" si="7"/>
        <v>-3082.0194342080031</v>
      </c>
      <c r="F73" s="23">
        <f t="shared" si="8"/>
        <v>1610846.6180294217</v>
      </c>
    </row>
    <row r="74" spans="1:6" x14ac:dyDescent="0.2">
      <c r="A74" s="26">
        <f t="shared" si="9"/>
        <v>3</v>
      </c>
      <c r="B74" s="22">
        <f t="shared" si="10"/>
        <v>1610846.6180294217</v>
      </c>
      <c r="C74" s="28">
        <f t="shared" si="11"/>
        <v>-8681.9681224442356</v>
      </c>
      <c r="D74" s="28">
        <f t="shared" si="6"/>
        <v>5589.2548134966191</v>
      </c>
      <c r="E74" s="28">
        <f t="shared" si="7"/>
        <v>-3092.7133089476165</v>
      </c>
      <c r="F74" s="23">
        <f t="shared" si="8"/>
        <v>1607753.904720474</v>
      </c>
    </row>
    <row r="75" spans="1:6" x14ac:dyDescent="0.2">
      <c r="A75" s="26">
        <f t="shared" si="9"/>
        <v>4</v>
      </c>
      <c r="B75" s="22">
        <f t="shared" si="10"/>
        <v>1607753.904720474</v>
      </c>
      <c r="C75" s="28">
        <f t="shared" si="11"/>
        <v>-8681.9681224442356</v>
      </c>
      <c r="D75" s="28">
        <f t="shared" si="6"/>
        <v>5578.5238335539434</v>
      </c>
      <c r="E75" s="28">
        <f t="shared" si="7"/>
        <v>-3103.4442888902922</v>
      </c>
      <c r="F75" s="23">
        <f t="shared" si="8"/>
        <v>1604650.4604315837</v>
      </c>
    </row>
    <row r="76" spans="1:6" x14ac:dyDescent="0.2">
      <c r="A76" s="26">
        <f t="shared" si="9"/>
        <v>5</v>
      </c>
      <c r="B76" s="22">
        <f t="shared" si="10"/>
        <v>1604650.4604315837</v>
      </c>
      <c r="C76" s="28">
        <f t="shared" si="11"/>
        <v>-8681.9681224442356</v>
      </c>
      <c r="D76" s="28">
        <f t="shared" si="6"/>
        <v>5567.7556196619717</v>
      </c>
      <c r="E76" s="28">
        <f t="shared" si="7"/>
        <v>-3114.212502782264</v>
      </c>
      <c r="F76" s="23">
        <f t="shared" si="8"/>
        <v>1601536.2479288015</v>
      </c>
    </row>
    <row r="77" spans="1:6" x14ac:dyDescent="0.2">
      <c r="A77" s="26">
        <f t="shared" si="9"/>
        <v>6</v>
      </c>
      <c r="B77" s="22">
        <f t="shared" si="10"/>
        <v>1601536.2479288015</v>
      </c>
      <c r="C77" s="28">
        <f t="shared" si="11"/>
        <v>-8681.9681224442356</v>
      </c>
      <c r="D77" s="28">
        <f t="shared" si="6"/>
        <v>5556.9500426277536</v>
      </c>
      <c r="E77" s="28">
        <f t="shared" si="7"/>
        <v>-3125.018079816482</v>
      </c>
      <c r="F77" s="23">
        <f t="shared" si="8"/>
        <v>1598411.2298489849</v>
      </c>
    </row>
    <row r="78" spans="1:6" x14ac:dyDescent="0.2">
      <c r="A78" s="26">
        <f t="shared" si="9"/>
        <v>7</v>
      </c>
      <c r="B78" s="22">
        <f t="shared" si="10"/>
        <v>1598411.2298489849</v>
      </c>
      <c r="C78" s="28">
        <f t="shared" si="11"/>
        <v>-8681.9681224442356</v>
      </c>
      <c r="D78" s="28">
        <f t="shared" si="6"/>
        <v>5546.1069728100665</v>
      </c>
      <c r="E78" s="28">
        <f t="shared" si="7"/>
        <v>-3135.8611496341691</v>
      </c>
      <c r="F78" s="23">
        <f t="shared" si="8"/>
        <v>1595275.3686993506</v>
      </c>
    </row>
    <row r="79" spans="1:6" x14ac:dyDescent="0.2">
      <c r="A79" s="26">
        <f t="shared" si="9"/>
        <v>8</v>
      </c>
      <c r="B79" s="22">
        <f t="shared" si="10"/>
        <v>1595275.3686993506</v>
      </c>
      <c r="C79" s="28">
        <f t="shared" si="11"/>
        <v>-8681.9681224442356</v>
      </c>
      <c r="D79" s="28">
        <f t="shared" si="6"/>
        <v>5535.2262801178649</v>
      </c>
      <c r="E79" s="28">
        <f t="shared" si="7"/>
        <v>-3146.7418423263707</v>
      </c>
      <c r="F79" s="23">
        <f t="shared" si="8"/>
        <v>1592128.6268570242</v>
      </c>
    </row>
    <row r="80" spans="1:6" x14ac:dyDescent="0.2">
      <c r="A80" s="26">
        <f t="shared" si="9"/>
        <v>9</v>
      </c>
      <c r="B80" s="22">
        <f t="shared" si="10"/>
        <v>1592128.6268570242</v>
      </c>
      <c r="C80" s="28">
        <f t="shared" si="11"/>
        <v>-8681.9681224442356</v>
      </c>
      <c r="D80" s="28">
        <f t="shared" si="6"/>
        <v>5524.3078340087186</v>
      </c>
      <c r="E80" s="28">
        <f t="shared" si="7"/>
        <v>-3157.660288435517</v>
      </c>
      <c r="F80" s="23">
        <f t="shared" si="8"/>
        <v>1588970.9665685887</v>
      </c>
    </row>
    <row r="81" spans="1:6" x14ac:dyDescent="0.2">
      <c r="A81" s="26">
        <f t="shared" si="9"/>
        <v>10</v>
      </c>
      <c r="B81" s="22">
        <f t="shared" si="10"/>
        <v>1588970.9665685887</v>
      </c>
      <c r="C81" s="28">
        <f t="shared" si="11"/>
        <v>-8681.9681224442356</v>
      </c>
      <c r="D81" s="28">
        <f t="shared" si="6"/>
        <v>5513.3515034872471</v>
      </c>
      <c r="E81" s="28">
        <f t="shared" si="7"/>
        <v>-3168.6166189569885</v>
      </c>
      <c r="F81" s="23">
        <f t="shared" si="8"/>
        <v>1585802.3499496318</v>
      </c>
    </row>
    <row r="82" spans="1:6" x14ac:dyDescent="0.2">
      <c r="A82" s="26">
        <f t="shared" si="9"/>
        <v>11</v>
      </c>
      <c r="B82" s="22">
        <f t="shared" si="10"/>
        <v>1585802.3499496318</v>
      </c>
      <c r="C82" s="28">
        <f t="shared" si="11"/>
        <v>-8681.9681224442356</v>
      </c>
      <c r="D82" s="28">
        <f t="shared" si="6"/>
        <v>5502.3571571035454</v>
      </c>
      <c r="E82" s="28">
        <f t="shared" si="7"/>
        <v>-3179.6109653406902</v>
      </c>
      <c r="F82" s="23">
        <f t="shared" si="8"/>
        <v>1582622.7389842912</v>
      </c>
    </row>
    <row r="83" spans="1:6" x14ac:dyDescent="0.2">
      <c r="A83" s="26">
        <f t="shared" si="9"/>
        <v>12</v>
      </c>
      <c r="B83" s="22">
        <f t="shared" si="10"/>
        <v>1582622.7389842912</v>
      </c>
      <c r="C83" s="28">
        <f t="shared" si="11"/>
        <v>-8681.9681224442356</v>
      </c>
      <c r="D83" s="28">
        <f t="shared" si="6"/>
        <v>5491.3246629516088</v>
      </c>
      <c r="E83" s="28">
        <f t="shared" si="7"/>
        <v>-3190.6434594926268</v>
      </c>
      <c r="F83" s="23">
        <f t="shared" si="8"/>
        <v>1579432.0955247986</v>
      </c>
    </row>
    <row r="84" spans="1:6" x14ac:dyDescent="0.2">
      <c r="A84" s="26">
        <f t="shared" si="9"/>
        <v>13</v>
      </c>
      <c r="B84" s="22">
        <f t="shared" si="10"/>
        <v>1579432.0955247986</v>
      </c>
      <c r="C84" s="28">
        <f t="shared" si="11"/>
        <v>-8681.9681224442356</v>
      </c>
      <c r="D84" s="28">
        <f t="shared" si="6"/>
        <v>5480.2538886677503</v>
      </c>
      <c r="E84" s="28">
        <f t="shared" si="7"/>
        <v>-3201.7142337764853</v>
      </c>
      <c r="F84" s="23">
        <f t="shared" si="8"/>
        <v>1576230.3812910221</v>
      </c>
    </row>
    <row r="85" spans="1:6" x14ac:dyDescent="0.2">
      <c r="A85" s="26">
        <f t="shared" si="9"/>
        <v>14</v>
      </c>
      <c r="B85" s="22">
        <f t="shared" si="10"/>
        <v>1576230.3812910221</v>
      </c>
      <c r="C85" s="28">
        <f t="shared" si="11"/>
        <v>-8681.9681224442356</v>
      </c>
      <c r="D85" s="28">
        <f t="shared" si="6"/>
        <v>5469.1447014290125</v>
      </c>
      <c r="E85" s="28">
        <f t="shared" si="7"/>
        <v>-3212.8234210152232</v>
      </c>
      <c r="F85" s="23">
        <f t="shared" si="8"/>
        <v>1573017.5578700069</v>
      </c>
    </row>
    <row r="86" spans="1:6" x14ac:dyDescent="0.2">
      <c r="A86" s="26">
        <f t="shared" si="9"/>
        <v>15</v>
      </c>
      <c r="B86" s="22">
        <f t="shared" si="10"/>
        <v>1573017.5578700069</v>
      </c>
      <c r="C86" s="28">
        <f t="shared" si="11"/>
        <v>-8681.9681224442356</v>
      </c>
      <c r="D86" s="28">
        <f t="shared" si="6"/>
        <v>5457.9969679515743</v>
      </c>
      <c r="E86" s="28">
        <f t="shared" si="7"/>
        <v>-3223.9711544926613</v>
      </c>
      <c r="F86" s="23">
        <f t="shared" si="8"/>
        <v>1569793.5867155143</v>
      </c>
    </row>
    <row r="87" spans="1:6" x14ac:dyDescent="0.2">
      <c r="A87" s="26">
        <f t="shared" si="9"/>
        <v>16</v>
      </c>
      <c r="B87" s="22">
        <f t="shared" si="10"/>
        <v>1569793.5867155143</v>
      </c>
      <c r="C87" s="28">
        <f t="shared" si="11"/>
        <v>-8681.9681224442356</v>
      </c>
      <c r="D87" s="28">
        <f t="shared" si="6"/>
        <v>5446.8105544891523</v>
      </c>
      <c r="E87" s="28">
        <f t="shared" si="7"/>
        <v>-3235.1575679550833</v>
      </c>
      <c r="F87" s="23">
        <f t="shared" si="8"/>
        <v>1566558.4291475592</v>
      </c>
    </row>
    <row r="88" spans="1:6" x14ac:dyDescent="0.2">
      <c r="A88" s="26">
        <f t="shared" si="9"/>
        <v>17</v>
      </c>
      <c r="B88" s="22">
        <f t="shared" si="10"/>
        <v>1566558.4291475592</v>
      </c>
      <c r="C88" s="28">
        <f t="shared" si="11"/>
        <v>-8681.9681224442356</v>
      </c>
      <c r="D88" s="28">
        <f t="shared" si="6"/>
        <v>5435.5853268313922</v>
      </c>
      <c r="E88" s="28">
        <f t="shared" si="7"/>
        <v>-3246.3827956128434</v>
      </c>
      <c r="F88" s="23">
        <f t="shared" si="8"/>
        <v>1563312.0463519464</v>
      </c>
    </row>
    <row r="89" spans="1:6" x14ac:dyDescent="0.2">
      <c r="A89" s="26">
        <f t="shared" si="9"/>
        <v>18</v>
      </c>
      <c r="B89" s="22">
        <f t="shared" si="10"/>
        <v>1563312.0463519464</v>
      </c>
      <c r="C89" s="28">
        <f t="shared" si="11"/>
        <v>-8681.9681224442356</v>
      </c>
      <c r="D89" s="28">
        <f t="shared" si="6"/>
        <v>5424.3211503022649</v>
      </c>
      <c r="E89" s="28">
        <f t="shared" si="7"/>
        <v>-3257.6469721419708</v>
      </c>
      <c r="F89" s="23">
        <f t="shared" si="8"/>
        <v>1560054.3993798045</v>
      </c>
    </row>
    <row r="90" spans="1:6" x14ac:dyDescent="0.2">
      <c r="A90" s="26">
        <f t="shared" si="9"/>
        <v>19</v>
      </c>
      <c r="B90" s="22">
        <f t="shared" si="10"/>
        <v>1560054.3993798045</v>
      </c>
      <c r="C90" s="28">
        <f t="shared" si="11"/>
        <v>-8681.9681224442356</v>
      </c>
      <c r="D90" s="28">
        <f t="shared" si="6"/>
        <v>5413.0178897584456</v>
      </c>
      <c r="E90" s="28">
        <f t="shared" si="7"/>
        <v>-3268.9502326857901</v>
      </c>
      <c r="F90" s="23">
        <f t="shared" si="8"/>
        <v>1556785.4491471187</v>
      </c>
    </row>
    <row r="91" spans="1:6" x14ac:dyDescent="0.2">
      <c r="A91" s="26">
        <f t="shared" si="9"/>
        <v>20</v>
      </c>
      <c r="B91" s="22">
        <f t="shared" si="10"/>
        <v>1556785.4491471187</v>
      </c>
      <c r="C91" s="28">
        <f t="shared" si="11"/>
        <v>-8681.9681224442356</v>
      </c>
      <c r="D91" s="28">
        <f t="shared" si="6"/>
        <v>5401.675409587695</v>
      </c>
      <c r="E91" s="28">
        <f t="shared" si="7"/>
        <v>-3280.2927128565407</v>
      </c>
      <c r="F91" s="23">
        <f t="shared" si="8"/>
        <v>1553505.1564342622</v>
      </c>
    </row>
    <row r="92" spans="1:6" x14ac:dyDescent="0.2">
      <c r="A92" s="26">
        <f t="shared" si="9"/>
        <v>21</v>
      </c>
      <c r="B92" s="22">
        <f t="shared" si="10"/>
        <v>1553505.1564342622</v>
      </c>
      <c r="C92" s="28">
        <f t="shared" si="11"/>
        <v>-8681.9681224442356</v>
      </c>
      <c r="D92" s="28">
        <f t="shared" si="6"/>
        <v>5390.2935737072303</v>
      </c>
      <c r="E92" s="28">
        <f t="shared" si="7"/>
        <v>-3291.6745487370054</v>
      </c>
      <c r="F92" s="23">
        <f t="shared" si="8"/>
        <v>1550213.4818855252</v>
      </c>
    </row>
    <row r="93" spans="1:6" x14ac:dyDescent="0.2">
      <c r="A93" s="26">
        <f t="shared" si="9"/>
        <v>22</v>
      </c>
      <c r="B93" s="22">
        <f t="shared" si="10"/>
        <v>1550213.4818855252</v>
      </c>
      <c r="C93" s="28">
        <f t="shared" si="11"/>
        <v>-8681.9681224442356</v>
      </c>
      <c r="D93" s="28">
        <f t="shared" si="6"/>
        <v>5378.8722455620973</v>
      </c>
      <c r="E93" s="28">
        <f t="shared" si="7"/>
        <v>-3303.0958768821383</v>
      </c>
      <c r="F93" s="23">
        <f t="shared" si="8"/>
        <v>1546910.3860086431</v>
      </c>
    </row>
    <row r="94" spans="1:6" x14ac:dyDescent="0.2">
      <c r="A94" s="26">
        <f t="shared" si="9"/>
        <v>23</v>
      </c>
      <c r="B94" s="22">
        <f t="shared" si="10"/>
        <v>1546910.3860086431</v>
      </c>
      <c r="C94" s="28">
        <f t="shared" si="11"/>
        <v>-8681.9681224442356</v>
      </c>
      <c r="D94" s="28">
        <f t="shared" si="6"/>
        <v>5367.4112881235242</v>
      </c>
      <c r="E94" s="28">
        <f t="shared" si="7"/>
        <v>-3314.5568343207115</v>
      </c>
      <c r="F94" s="23">
        <f t="shared" si="8"/>
        <v>1543595.8291743223</v>
      </c>
    </row>
    <row r="95" spans="1:6" x14ac:dyDescent="0.2">
      <c r="A95" s="26">
        <f t="shared" si="9"/>
        <v>24</v>
      </c>
      <c r="B95" s="22">
        <f t="shared" si="10"/>
        <v>1543595.8291743223</v>
      </c>
      <c r="C95" s="28">
        <f t="shared" si="11"/>
        <v>-8681.9681224442356</v>
      </c>
      <c r="D95" s="28">
        <f t="shared" si="6"/>
        <v>5355.9105638872843</v>
      </c>
      <c r="E95" s="28">
        <f t="shared" si="7"/>
        <v>-3326.0575585569513</v>
      </c>
      <c r="F95" s="23">
        <f t="shared" si="8"/>
        <v>1540269.7716157653</v>
      </c>
    </row>
    <row r="96" spans="1:6" x14ac:dyDescent="0.2">
      <c r="A96" s="26">
        <f t="shared" si="9"/>
        <v>25</v>
      </c>
      <c r="B96" s="22">
        <f t="shared" si="10"/>
        <v>1540269.7716157653</v>
      </c>
      <c r="C96" s="28">
        <f t="shared" si="11"/>
        <v>-8681.9681224442356</v>
      </c>
      <c r="D96" s="28">
        <f t="shared" si="6"/>
        <v>5344.3699348720447</v>
      </c>
      <c r="E96" s="28">
        <f t="shared" si="7"/>
        <v>-3337.5981875721909</v>
      </c>
      <c r="F96" s="23">
        <f t="shared" si="8"/>
        <v>1536932.1734281932</v>
      </c>
    </row>
    <row r="97" spans="1:6" x14ac:dyDescent="0.2">
      <c r="A97" s="26">
        <f t="shared" si="9"/>
        <v>26</v>
      </c>
      <c r="B97" s="22">
        <f t="shared" si="10"/>
        <v>1536932.1734281932</v>
      </c>
      <c r="C97" s="28">
        <f t="shared" si="11"/>
        <v>-8681.9681224442356</v>
      </c>
      <c r="D97" s="28">
        <f t="shared" si="6"/>
        <v>5332.7892626177081</v>
      </c>
      <c r="E97" s="28">
        <f t="shared" si="7"/>
        <v>-3349.1788598265275</v>
      </c>
      <c r="F97" s="23">
        <f t="shared" si="8"/>
        <v>1533582.9945683666</v>
      </c>
    </row>
    <row r="98" spans="1:6" x14ac:dyDescent="0.2">
      <c r="A98" s="26">
        <f t="shared" si="9"/>
        <v>27</v>
      </c>
      <c r="B98" s="22">
        <f t="shared" si="10"/>
        <v>1533582.9945683666</v>
      </c>
      <c r="C98" s="28">
        <f t="shared" si="11"/>
        <v>-8681.9681224442356</v>
      </c>
      <c r="D98" s="28">
        <f t="shared" si="6"/>
        <v>5321.1684081837539</v>
      </c>
      <c r="E98" s="28">
        <f t="shared" si="7"/>
        <v>-3360.7997142604818</v>
      </c>
      <c r="F98" s="23">
        <f t="shared" si="8"/>
        <v>1530222.1948541061</v>
      </c>
    </row>
    <row r="99" spans="1:6" x14ac:dyDescent="0.2">
      <c r="A99" s="26">
        <f t="shared" si="9"/>
        <v>28</v>
      </c>
      <c r="B99" s="22">
        <f t="shared" si="10"/>
        <v>1530222.1948541061</v>
      </c>
      <c r="C99" s="28">
        <f t="shared" si="11"/>
        <v>-8681.9681224442356</v>
      </c>
      <c r="D99" s="28">
        <f t="shared" si="6"/>
        <v>5309.5072321475727</v>
      </c>
      <c r="E99" s="28">
        <f t="shared" si="7"/>
        <v>-3372.4608902966629</v>
      </c>
      <c r="F99" s="23">
        <f t="shared" si="8"/>
        <v>1526849.7339638094</v>
      </c>
    </row>
    <row r="100" spans="1:6" x14ac:dyDescent="0.2">
      <c r="A100" s="26">
        <f t="shared" si="9"/>
        <v>29</v>
      </c>
      <c r="B100" s="22">
        <f t="shared" si="10"/>
        <v>1526849.7339638094</v>
      </c>
      <c r="C100" s="28">
        <f t="shared" si="11"/>
        <v>-8681.9681224442356</v>
      </c>
      <c r="D100" s="28">
        <f t="shared" si="6"/>
        <v>5297.8055946027898</v>
      </c>
      <c r="E100" s="28">
        <f t="shared" si="7"/>
        <v>-3384.1625278414458</v>
      </c>
      <c r="F100" s="23">
        <f t="shared" si="8"/>
        <v>1523465.5714359679</v>
      </c>
    </row>
    <row r="101" spans="1:6" x14ac:dyDescent="0.2">
      <c r="A101" s="26">
        <f t="shared" si="9"/>
        <v>30</v>
      </c>
      <c r="B101" s="22">
        <f t="shared" si="10"/>
        <v>1523465.5714359679</v>
      </c>
      <c r="C101" s="28">
        <f t="shared" si="11"/>
        <v>-8681.9681224442356</v>
      </c>
      <c r="D101" s="28">
        <f t="shared" si="6"/>
        <v>5286.0633551575893</v>
      </c>
      <c r="E101" s="28">
        <f t="shared" si="7"/>
        <v>-3395.9047672866463</v>
      </c>
      <c r="F101" s="23">
        <f t="shared" si="8"/>
        <v>1520069.6666686812</v>
      </c>
    </row>
    <row r="102" spans="1:6" x14ac:dyDescent="0.2">
      <c r="A102" s="26">
        <f t="shared" si="9"/>
        <v>31</v>
      </c>
      <c r="B102" s="22">
        <f t="shared" si="10"/>
        <v>1520069.6666686812</v>
      </c>
      <c r="C102" s="28">
        <f t="shared" si="11"/>
        <v>-8681.9681224442356</v>
      </c>
      <c r="D102" s="28">
        <f t="shared" si="6"/>
        <v>5274.280372933029</v>
      </c>
      <c r="E102" s="28">
        <f t="shared" si="7"/>
        <v>-3407.6877495112067</v>
      </c>
      <c r="F102" s="23">
        <f t="shared" si="8"/>
        <v>1516661.9789191701</v>
      </c>
    </row>
    <row r="103" spans="1:6" x14ac:dyDescent="0.2">
      <c r="A103" s="26">
        <f t="shared" si="9"/>
        <v>32</v>
      </c>
      <c r="B103" s="22">
        <f t="shared" si="10"/>
        <v>1516661.9789191701</v>
      </c>
      <c r="C103" s="28">
        <f t="shared" si="11"/>
        <v>-8681.9681224442356</v>
      </c>
      <c r="D103" s="28">
        <f t="shared" si="6"/>
        <v>5262.4565065613515</v>
      </c>
      <c r="E103" s="28">
        <f t="shared" si="7"/>
        <v>-3419.5116158828841</v>
      </c>
      <c r="F103" s="23">
        <f t="shared" si="8"/>
        <v>1513242.4673032872</v>
      </c>
    </row>
    <row r="104" spans="1:6" x14ac:dyDescent="0.2">
      <c r="A104" s="26">
        <f t="shared" si="9"/>
        <v>33</v>
      </c>
      <c r="B104" s="22">
        <f t="shared" si="10"/>
        <v>1513242.4673032872</v>
      </c>
      <c r="C104" s="28">
        <f t="shared" si="11"/>
        <v>-8681.9681224442356</v>
      </c>
      <c r="D104" s="28">
        <f t="shared" si="6"/>
        <v>5250.5916141842854</v>
      </c>
      <c r="E104" s="28">
        <f t="shared" si="7"/>
        <v>-3431.3765082599502</v>
      </c>
      <c r="F104" s="23">
        <f t="shared" si="8"/>
        <v>1509811.0907950273</v>
      </c>
    </row>
    <row r="105" spans="1:6" x14ac:dyDescent="0.2">
      <c r="A105" s="26">
        <f t="shared" si="9"/>
        <v>34</v>
      </c>
      <c r="B105" s="22">
        <f t="shared" si="10"/>
        <v>1509811.0907950273</v>
      </c>
      <c r="C105" s="28">
        <f t="shared" si="11"/>
        <v>-8681.9681224442356</v>
      </c>
      <c r="D105" s="28">
        <f t="shared" si="6"/>
        <v>5238.6855534513443</v>
      </c>
      <c r="E105" s="28">
        <f t="shared" si="7"/>
        <v>-3443.2825689928914</v>
      </c>
      <c r="F105" s="23">
        <f t="shared" si="8"/>
        <v>1506367.8082260345</v>
      </c>
    </row>
    <row r="106" spans="1:6" x14ac:dyDescent="0.2">
      <c r="A106" s="26">
        <f t="shared" si="9"/>
        <v>35</v>
      </c>
      <c r="B106" s="22">
        <f t="shared" si="10"/>
        <v>1506367.8082260345</v>
      </c>
      <c r="C106" s="28">
        <f t="shared" si="11"/>
        <v>-8681.9681224442356</v>
      </c>
      <c r="D106" s="28">
        <f t="shared" si="6"/>
        <v>5226.7381815181207</v>
      </c>
      <c r="E106" s="28">
        <f t="shared" si="7"/>
        <v>-3455.229940926115</v>
      </c>
      <c r="F106" s="23">
        <f t="shared" si="8"/>
        <v>1502912.5782851083</v>
      </c>
    </row>
    <row r="107" spans="1:6" x14ac:dyDescent="0.2">
      <c r="A107" s="26">
        <f t="shared" si="9"/>
        <v>36</v>
      </c>
      <c r="B107" s="22">
        <f t="shared" si="10"/>
        <v>1502912.5782851083</v>
      </c>
      <c r="C107" s="28">
        <f t="shared" si="11"/>
        <v>-8681.9681224442356</v>
      </c>
      <c r="D107" s="28">
        <f t="shared" si="6"/>
        <v>5214.7493550445715</v>
      </c>
      <c r="E107" s="28">
        <f t="shared" si="7"/>
        <v>-3467.2187673996641</v>
      </c>
      <c r="F107" s="23">
        <f t="shared" si="8"/>
        <v>1499445.3595177087</v>
      </c>
    </row>
    <row r="108" spans="1:6" x14ac:dyDescent="0.2">
      <c r="A108" s="26">
        <f t="shared" si="9"/>
        <v>37</v>
      </c>
      <c r="B108" s="22">
        <f t="shared" si="10"/>
        <v>1499445.3595177087</v>
      </c>
      <c r="C108" s="28">
        <f t="shared" si="11"/>
        <v>-8681.9681224442356</v>
      </c>
      <c r="D108" s="28">
        <f t="shared" si="6"/>
        <v>5202.7189301932958</v>
      </c>
      <c r="E108" s="28">
        <f t="shared" si="7"/>
        <v>-3479.2491922509398</v>
      </c>
      <c r="F108" s="23">
        <f t="shared" si="8"/>
        <v>1495966.1103254578</v>
      </c>
    </row>
    <row r="109" spans="1:6" x14ac:dyDescent="0.2">
      <c r="A109" s="26">
        <f t="shared" si="9"/>
        <v>38</v>
      </c>
      <c r="B109" s="22">
        <f t="shared" si="10"/>
        <v>1495966.1103254578</v>
      </c>
      <c r="C109" s="28">
        <f t="shared" si="11"/>
        <v>-8681.9681224442356</v>
      </c>
      <c r="D109" s="28">
        <f t="shared" si="6"/>
        <v>5190.6467626278127</v>
      </c>
      <c r="E109" s="28">
        <f t="shared" si="7"/>
        <v>-3491.321359816423</v>
      </c>
      <c r="F109" s="23">
        <f t="shared" si="8"/>
        <v>1492474.7889656413</v>
      </c>
    </row>
    <row r="110" spans="1:6" x14ac:dyDescent="0.2">
      <c r="A110" s="26">
        <f t="shared" si="9"/>
        <v>39</v>
      </c>
      <c r="B110" s="22">
        <f t="shared" si="10"/>
        <v>1492474.7889656413</v>
      </c>
      <c r="C110" s="28">
        <f t="shared" si="11"/>
        <v>-8681.9681224442356</v>
      </c>
      <c r="D110" s="28">
        <f t="shared" si="6"/>
        <v>5178.5327075108271</v>
      </c>
      <c r="E110" s="28">
        <f t="shared" si="7"/>
        <v>-3503.4354149334085</v>
      </c>
      <c r="F110" s="23">
        <f t="shared" si="8"/>
        <v>1488971.3535507079</v>
      </c>
    </row>
    <row r="111" spans="1:6" x14ac:dyDescent="0.2">
      <c r="A111" s="26">
        <f t="shared" si="9"/>
        <v>40</v>
      </c>
      <c r="B111" s="22">
        <f t="shared" si="10"/>
        <v>1488971.3535507079</v>
      </c>
      <c r="C111" s="28">
        <f t="shared" si="11"/>
        <v>-8681.9681224442356</v>
      </c>
      <c r="D111" s="28">
        <f t="shared" si="6"/>
        <v>5166.3766195024946</v>
      </c>
      <c r="E111" s="28">
        <f t="shared" si="7"/>
        <v>-3515.5915029417411</v>
      </c>
      <c r="F111" s="23">
        <f t="shared" si="8"/>
        <v>1485455.7620477662</v>
      </c>
    </row>
    <row r="112" spans="1:6" x14ac:dyDescent="0.2">
      <c r="A112" s="26">
        <f t="shared" si="9"/>
        <v>41</v>
      </c>
      <c r="B112" s="22">
        <f t="shared" si="10"/>
        <v>1485455.7620477662</v>
      </c>
      <c r="C112" s="28">
        <f t="shared" si="11"/>
        <v>-8681.9681224442356</v>
      </c>
      <c r="D112" s="28">
        <f t="shared" si="6"/>
        <v>5154.178352758674</v>
      </c>
      <c r="E112" s="28">
        <f t="shared" si="7"/>
        <v>-3527.7897696855616</v>
      </c>
      <c r="F112" s="23">
        <f t="shared" si="8"/>
        <v>1481927.9722780806</v>
      </c>
    </row>
    <row r="113" spans="1:6" x14ac:dyDescent="0.2">
      <c r="A113" s="26">
        <f t="shared" si="9"/>
        <v>42</v>
      </c>
      <c r="B113" s="22">
        <f t="shared" si="10"/>
        <v>1481927.9722780806</v>
      </c>
      <c r="C113" s="28">
        <f t="shared" si="11"/>
        <v>-8681.9681224442356</v>
      </c>
      <c r="D113" s="28">
        <f t="shared" si="6"/>
        <v>5141.9377609291796</v>
      </c>
      <c r="E113" s="28">
        <f t="shared" si="7"/>
        <v>-3540.030361515056</v>
      </c>
      <c r="F113" s="23">
        <f t="shared" si="8"/>
        <v>1478387.9419165656</v>
      </c>
    </row>
    <row r="114" spans="1:6" x14ac:dyDescent="0.2">
      <c r="A114" s="26">
        <f t="shared" si="9"/>
        <v>43</v>
      </c>
      <c r="B114" s="22">
        <f t="shared" si="10"/>
        <v>1478387.9419165656</v>
      </c>
      <c r="C114" s="28">
        <f t="shared" si="11"/>
        <v>-8681.9681224442356</v>
      </c>
      <c r="D114" s="28">
        <f t="shared" si="6"/>
        <v>5129.6546971560274</v>
      </c>
      <c r="E114" s="28">
        <f t="shared" si="7"/>
        <v>-3552.3134252882082</v>
      </c>
      <c r="F114" s="23">
        <f t="shared" si="8"/>
        <v>1474835.6284912773</v>
      </c>
    </row>
    <row r="115" spans="1:6" x14ac:dyDescent="0.2">
      <c r="A115" s="26">
        <f t="shared" si="9"/>
        <v>44</v>
      </c>
      <c r="B115" s="22">
        <f t="shared" si="10"/>
        <v>1474835.6284912773</v>
      </c>
      <c r="C115" s="28">
        <f t="shared" si="11"/>
        <v>-8681.9681224442356</v>
      </c>
      <c r="D115" s="28">
        <f t="shared" si="6"/>
        <v>5117.329014071669</v>
      </c>
      <c r="E115" s="28">
        <f t="shared" si="7"/>
        <v>-3564.6391083725666</v>
      </c>
      <c r="F115" s="23">
        <f t="shared" si="8"/>
        <v>1471270.9893829047</v>
      </c>
    </row>
    <row r="116" spans="1:6" x14ac:dyDescent="0.2">
      <c r="A116" s="26">
        <f t="shared" si="9"/>
        <v>45</v>
      </c>
      <c r="B116" s="22">
        <f t="shared" si="10"/>
        <v>1471270.9893829047</v>
      </c>
      <c r="C116" s="28">
        <f t="shared" si="11"/>
        <v>-8681.9681224442356</v>
      </c>
      <c r="D116" s="28">
        <f t="shared" si="6"/>
        <v>5104.9605637972272</v>
      </c>
      <c r="E116" s="28">
        <f t="shared" si="7"/>
        <v>-3577.0075586470084</v>
      </c>
      <c r="F116" s="23">
        <f t="shared" si="8"/>
        <v>1467693.9818242576</v>
      </c>
    </row>
    <row r="117" spans="1:6" x14ac:dyDescent="0.2">
      <c r="A117" s="26">
        <f t="shared" si="9"/>
        <v>46</v>
      </c>
      <c r="B117" s="22">
        <f t="shared" si="10"/>
        <v>1467693.9818242576</v>
      </c>
      <c r="C117" s="28">
        <f t="shared" si="11"/>
        <v>-8681.9681224442356</v>
      </c>
      <c r="D117" s="28">
        <f t="shared" si="6"/>
        <v>5092.5491979407188</v>
      </c>
      <c r="E117" s="28">
        <f t="shared" si="7"/>
        <v>-3589.4189245035168</v>
      </c>
      <c r="F117" s="23">
        <f t="shared" si="8"/>
        <v>1464104.5628997541</v>
      </c>
    </row>
    <row r="118" spans="1:6" x14ac:dyDescent="0.2">
      <c r="A118" s="26">
        <f t="shared" si="9"/>
        <v>47</v>
      </c>
      <c r="B118" s="22">
        <f t="shared" si="10"/>
        <v>1464104.5628997541</v>
      </c>
      <c r="C118" s="28">
        <f t="shared" si="11"/>
        <v>-8681.9681224442356</v>
      </c>
      <c r="D118" s="28">
        <f t="shared" si="6"/>
        <v>5080.0947675952775</v>
      </c>
      <c r="E118" s="28">
        <f t="shared" si="7"/>
        <v>-3601.8733548489581</v>
      </c>
      <c r="F118" s="23">
        <f t="shared" si="8"/>
        <v>1460502.6895449052</v>
      </c>
    </row>
    <row r="119" spans="1:6" x14ac:dyDescent="0.2">
      <c r="A119" s="26">
        <f t="shared" si="9"/>
        <v>48</v>
      </c>
      <c r="B119" s="22">
        <f t="shared" si="10"/>
        <v>1460502.6895449052</v>
      </c>
      <c r="C119" s="28">
        <f t="shared" si="11"/>
        <v>-8681.9681224442356</v>
      </c>
      <c r="D119" s="28">
        <f t="shared" si="6"/>
        <v>5067.5971233373639</v>
      </c>
      <c r="E119" s="28">
        <f t="shared" si="7"/>
        <v>-3614.3709991068717</v>
      </c>
      <c r="F119" s="23">
        <f t="shared" si="8"/>
        <v>1456888.3185457983</v>
      </c>
    </row>
    <row r="120" spans="1:6" x14ac:dyDescent="0.2">
      <c r="A120" s="26">
        <f t="shared" si="9"/>
        <v>49</v>
      </c>
      <c r="B120" s="22">
        <f t="shared" si="10"/>
        <v>1456888.3185457983</v>
      </c>
      <c r="C120" s="28">
        <f t="shared" si="11"/>
        <v>-8681.9681224442356</v>
      </c>
      <c r="D120" s="28">
        <f t="shared" si="6"/>
        <v>5055.0561152249757</v>
      </c>
      <c r="E120" s="28">
        <f t="shared" si="7"/>
        <v>-3626.91200721926</v>
      </c>
      <c r="F120" s="23">
        <f t="shared" si="8"/>
        <v>1453261.4065385791</v>
      </c>
    </row>
    <row r="121" spans="1:6" x14ac:dyDescent="0.2">
      <c r="A121" s="26">
        <f t="shared" si="9"/>
        <v>50</v>
      </c>
      <c r="B121" s="22">
        <f t="shared" si="10"/>
        <v>1453261.4065385791</v>
      </c>
      <c r="C121" s="28">
        <f t="shared" si="11"/>
        <v>-8681.9681224442356</v>
      </c>
      <c r="D121" s="28">
        <f t="shared" si="6"/>
        <v>5042.4715927958459</v>
      </c>
      <c r="E121" s="28">
        <f t="shared" si="7"/>
        <v>-3639.4965296483897</v>
      </c>
      <c r="F121" s="23">
        <f t="shared" si="8"/>
        <v>1449621.9100089308</v>
      </c>
    </row>
    <row r="122" spans="1:6" x14ac:dyDescent="0.2">
      <c r="A122" s="26">
        <f t="shared" si="9"/>
        <v>51</v>
      </c>
      <c r="B122" s="22">
        <f t="shared" si="10"/>
        <v>1449621.9100089308</v>
      </c>
      <c r="C122" s="28">
        <f t="shared" si="11"/>
        <v>-8681.9681224442356</v>
      </c>
      <c r="D122" s="28">
        <f t="shared" si="6"/>
        <v>5029.8434050656415</v>
      </c>
      <c r="E122" s="28">
        <f t="shared" si="7"/>
        <v>-3652.1247173785941</v>
      </c>
      <c r="F122" s="23">
        <f t="shared" si="8"/>
        <v>1445969.7852915523</v>
      </c>
    </row>
    <row r="123" spans="1:6" x14ac:dyDescent="0.2">
      <c r="A123" s="26">
        <f t="shared" si="9"/>
        <v>52</v>
      </c>
      <c r="B123" s="22">
        <f t="shared" si="10"/>
        <v>1445969.7852915523</v>
      </c>
      <c r="C123" s="28">
        <f t="shared" si="11"/>
        <v>-8681.9681224442356</v>
      </c>
      <c r="D123" s="28">
        <f t="shared" si="6"/>
        <v>5017.1714005261474</v>
      </c>
      <c r="E123" s="28">
        <f t="shared" si="7"/>
        <v>-3664.7967219180882</v>
      </c>
      <c r="F123" s="23">
        <f t="shared" si="8"/>
        <v>1442304.9885696343</v>
      </c>
    </row>
    <row r="124" spans="1:6" x14ac:dyDescent="0.2">
      <c r="A124" s="26">
        <f t="shared" si="9"/>
        <v>53</v>
      </c>
      <c r="B124" s="22">
        <f t="shared" si="10"/>
        <v>1442304.9885696343</v>
      </c>
      <c r="C124" s="28">
        <f t="shared" si="11"/>
        <v>-8681.9681224442356</v>
      </c>
      <c r="D124" s="28">
        <f t="shared" si="6"/>
        <v>5004.4554271434517</v>
      </c>
      <c r="E124" s="28">
        <f t="shared" si="7"/>
        <v>-3677.5126953007839</v>
      </c>
      <c r="F124" s="23">
        <f t="shared" si="8"/>
        <v>1438627.4758743334</v>
      </c>
    </row>
    <row r="125" spans="1:6" x14ac:dyDescent="0.2">
      <c r="A125" s="26">
        <f t="shared" si="9"/>
        <v>54</v>
      </c>
      <c r="B125" s="22">
        <f t="shared" si="10"/>
        <v>1438627.4758743334</v>
      </c>
      <c r="C125" s="28">
        <f t="shared" si="11"/>
        <v>-8681.9681224442356</v>
      </c>
      <c r="D125" s="28">
        <f t="shared" si="6"/>
        <v>4991.695332356122</v>
      </c>
      <c r="E125" s="28">
        <f t="shared" si="7"/>
        <v>-3690.2727900881137</v>
      </c>
      <c r="F125" s="23">
        <f t="shared" si="8"/>
        <v>1434937.2030842453</v>
      </c>
    </row>
    <row r="126" spans="1:6" x14ac:dyDescent="0.2">
      <c r="A126" s="26">
        <f t="shared" si="9"/>
        <v>55</v>
      </c>
      <c r="B126" s="22">
        <f t="shared" si="10"/>
        <v>1434937.2030842453</v>
      </c>
      <c r="C126" s="28">
        <f t="shared" si="11"/>
        <v>-8681.9681224442356</v>
      </c>
      <c r="D126" s="28">
        <f t="shared" si="6"/>
        <v>4978.8909630733733</v>
      </c>
      <c r="E126" s="28">
        <f t="shared" si="7"/>
        <v>-3703.0771593708623</v>
      </c>
      <c r="F126" s="23">
        <f t="shared" si="8"/>
        <v>1431234.1259248746</v>
      </c>
    </row>
    <row r="127" spans="1:6" x14ac:dyDescent="0.2">
      <c r="A127" s="26">
        <f t="shared" si="9"/>
        <v>56</v>
      </c>
      <c r="B127" s="22">
        <f t="shared" si="10"/>
        <v>1431234.1259248746</v>
      </c>
      <c r="C127" s="28">
        <f t="shared" si="11"/>
        <v>-8681.9681224442356</v>
      </c>
      <c r="D127" s="28">
        <f t="shared" si="6"/>
        <v>4966.0421656732324</v>
      </c>
      <c r="E127" s="28">
        <f t="shared" si="7"/>
        <v>-3715.9259567710033</v>
      </c>
      <c r="F127" s="23">
        <f t="shared" si="8"/>
        <v>1427518.1999681036</v>
      </c>
    </row>
    <row r="128" spans="1:6" x14ac:dyDescent="0.2">
      <c r="A128" s="26">
        <f t="shared" si="9"/>
        <v>57</v>
      </c>
      <c r="B128" s="22">
        <f t="shared" si="10"/>
        <v>1427518.1999681036</v>
      </c>
      <c r="C128" s="28">
        <f t="shared" si="11"/>
        <v>-8681.9681224442356</v>
      </c>
      <c r="D128" s="28">
        <f t="shared" si="6"/>
        <v>4953.1487860006928</v>
      </c>
      <c r="E128" s="28">
        <f t="shared" si="7"/>
        <v>-3728.8193364435429</v>
      </c>
      <c r="F128" s="23">
        <f t="shared" si="8"/>
        <v>1423789.3806316601</v>
      </c>
    </row>
    <row r="129" spans="1:6" x14ac:dyDescent="0.2">
      <c r="A129" s="26">
        <f t="shared" si="9"/>
        <v>58</v>
      </c>
      <c r="B129" s="22">
        <f t="shared" si="10"/>
        <v>1423789.3806316601</v>
      </c>
      <c r="C129" s="28">
        <f t="shared" si="11"/>
        <v>-8681.9681224442356</v>
      </c>
      <c r="D129" s="28">
        <f t="shared" si="6"/>
        <v>4940.2106693658689</v>
      </c>
      <c r="E129" s="28">
        <f t="shared" si="7"/>
        <v>-3741.7574530783668</v>
      </c>
      <c r="F129" s="23">
        <f t="shared" si="8"/>
        <v>1420047.6231785817</v>
      </c>
    </row>
    <row r="130" spans="1:6" x14ac:dyDescent="0.2">
      <c r="A130" s="26">
        <f t="shared" si="9"/>
        <v>59</v>
      </c>
      <c r="B130" s="22">
        <f t="shared" si="10"/>
        <v>1420047.6231785817</v>
      </c>
      <c r="C130" s="28">
        <f t="shared" si="11"/>
        <v>-8681.9681224442356</v>
      </c>
      <c r="D130" s="28">
        <f t="shared" si="6"/>
        <v>4927.2276605421366</v>
      </c>
      <c r="E130" s="28">
        <f t="shared" si="7"/>
        <v>-3754.740461902099</v>
      </c>
      <c r="F130" s="23">
        <f t="shared" si="8"/>
        <v>1416292.8827166797</v>
      </c>
    </row>
    <row r="131" spans="1:6" x14ac:dyDescent="0.2">
      <c r="A131" s="26">
        <f t="shared" si="9"/>
        <v>60</v>
      </c>
      <c r="B131" s="22">
        <f t="shared" si="10"/>
        <v>1416292.8827166797</v>
      </c>
      <c r="C131" s="28">
        <f t="shared" si="11"/>
        <v>-8681.9681224442356</v>
      </c>
      <c r="D131" s="28">
        <f t="shared" si="6"/>
        <v>4914.1996037642739</v>
      </c>
      <c r="E131" s="28">
        <f t="shared" si="7"/>
        <v>-3767.7685186799617</v>
      </c>
      <c r="F131" s="23">
        <f t="shared" si="8"/>
        <v>1412525.1141979997</v>
      </c>
    </row>
    <row r="132" spans="1:6" x14ac:dyDescent="0.2">
      <c r="A132" s="26">
        <f t="shared" si="9"/>
        <v>61</v>
      </c>
      <c r="B132" s="22">
        <f t="shared" si="10"/>
        <v>1412525.1141979997</v>
      </c>
      <c r="C132" s="28">
        <f t="shared" si="11"/>
        <v>-8681.9681224442356</v>
      </c>
      <c r="D132" s="28">
        <f t="shared" si="6"/>
        <v>4901.1263427265867</v>
      </c>
      <c r="E132" s="28">
        <f t="shared" si="7"/>
        <v>-3780.8417797176489</v>
      </c>
      <c r="F132" s="23">
        <f t="shared" si="8"/>
        <v>1408744.272418282</v>
      </c>
    </row>
    <row r="133" spans="1:6" x14ac:dyDescent="0.2">
      <c r="A133" s="26">
        <f t="shared" si="9"/>
        <v>62</v>
      </c>
      <c r="B133" s="22">
        <f t="shared" si="10"/>
        <v>1408744.272418282</v>
      </c>
      <c r="C133" s="28">
        <f t="shared" si="11"/>
        <v>-8681.9681224442356</v>
      </c>
      <c r="D133" s="28">
        <f t="shared" si="6"/>
        <v>4888.0077205810421</v>
      </c>
      <c r="E133" s="28">
        <f t="shared" si="7"/>
        <v>-3793.9604018631935</v>
      </c>
      <c r="F133" s="23">
        <f t="shared" si="8"/>
        <v>1404950.3120164189</v>
      </c>
    </row>
    <row r="134" spans="1:6" x14ac:dyDescent="0.2">
      <c r="A134" s="26">
        <f t="shared" si="9"/>
        <v>63</v>
      </c>
      <c r="B134" s="22">
        <f t="shared" si="10"/>
        <v>1404950.3120164189</v>
      </c>
      <c r="C134" s="28">
        <f t="shared" si="11"/>
        <v>-8681.9681224442356</v>
      </c>
      <c r="D134" s="28">
        <f t="shared" si="6"/>
        <v>4874.8435799353801</v>
      </c>
      <c r="E134" s="28">
        <f t="shared" si="7"/>
        <v>-3807.1245425088555</v>
      </c>
      <c r="F134" s="23">
        <f t="shared" si="8"/>
        <v>1401143.1874739102</v>
      </c>
    </row>
    <row r="135" spans="1:6" x14ac:dyDescent="0.2">
      <c r="A135" s="26">
        <f t="shared" si="9"/>
        <v>64</v>
      </c>
      <c r="B135" s="22">
        <f t="shared" si="10"/>
        <v>1401143.1874739102</v>
      </c>
      <c r="C135" s="28">
        <f t="shared" si="11"/>
        <v>-8681.9681224442356</v>
      </c>
      <c r="D135" s="28">
        <f t="shared" si="6"/>
        <v>4861.6337628512256</v>
      </c>
      <c r="E135" s="28">
        <f t="shared" si="7"/>
        <v>-3820.33435959301</v>
      </c>
      <c r="F135" s="23">
        <f t="shared" si="8"/>
        <v>1397322.8531143172</v>
      </c>
    </row>
    <row r="136" spans="1:6" x14ac:dyDescent="0.2">
      <c r="A136" s="26">
        <f t="shared" si="9"/>
        <v>65</v>
      </c>
      <c r="B136" s="22">
        <f t="shared" si="10"/>
        <v>1397322.8531143172</v>
      </c>
      <c r="C136" s="28">
        <f t="shared" si="11"/>
        <v>-8681.9681224442356</v>
      </c>
      <c r="D136" s="28">
        <f t="shared" ref="D136:D199" si="12">+B136*$B$14</f>
        <v>4848.3781108421945</v>
      </c>
      <c r="E136" s="28">
        <f t="shared" ref="E136:E199" si="13">+C136+D136</f>
        <v>-3833.5900116020412</v>
      </c>
      <c r="F136" s="23">
        <f t="shared" ref="F136:F199" si="14">+B136+E136</f>
        <v>1393489.2631027151</v>
      </c>
    </row>
    <row r="137" spans="1:6" x14ac:dyDescent="0.2">
      <c r="A137" s="26">
        <f t="shared" ref="A137:A200" si="15">1+A136</f>
        <v>66</v>
      </c>
      <c r="B137" s="22">
        <f t="shared" ref="B137:B200" si="16">F136</f>
        <v>1393489.2631027151</v>
      </c>
      <c r="C137" s="28">
        <f t="shared" ref="C137:C200" si="17">C136</f>
        <v>-8681.9681224442356</v>
      </c>
      <c r="D137" s="28">
        <f t="shared" si="12"/>
        <v>4835.076464871996</v>
      </c>
      <c r="E137" s="28">
        <f t="shared" si="13"/>
        <v>-3846.8916575722396</v>
      </c>
      <c r="F137" s="23">
        <f t="shared" si="14"/>
        <v>1389642.3714451429</v>
      </c>
    </row>
    <row r="138" spans="1:6" x14ac:dyDescent="0.2">
      <c r="A138" s="26">
        <f t="shared" si="15"/>
        <v>67</v>
      </c>
      <c r="B138" s="22">
        <f t="shared" si="16"/>
        <v>1389642.3714451429</v>
      </c>
      <c r="C138" s="28">
        <f t="shared" si="17"/>
        <v>-8681.9681224442356</v>
      </c>
      <c r="D138" s="28">
        <f t="shared" si="12"/>
        <v>4821.728665352518</v>
      </c>
      <c r="E138" s="28">
        <f t="shared" si="13"/>
        <v>-3860.2394570917177</v>
      </c>
      <c r="F138" s="23">
        <f t="shared" si="14"/>
        <v>1385782.1319880511</v>
      </c>
    </row>
    <row r="139" spans="1:6" x14ac:dyDescent="0.2">
      <c r="A139" s="26">
        <f t="shared" si="15"/>
        <v>68</v>
      </c>
      <c r="B139" s="22">
        <f t="shared" si="16"/>
        <v>1385782.1319880511</v>
      </c>
      <c r="C139" s="28">
        <f t="shared" si="17"/>
        <v>-8681.9681224442356</v>
      </c>
      <c r="D139" s="28">
        <f t="shared" si="12"/>
        <v>4808.3345521419169</v>
      </c>
      <c r="E139" s="28">
        <f t="shared" si="13"/>
        <v>-3873.6335703023187</v>
      </c>
      <c r="F139" s="23">
        <f t="shared" si="14"/>
        <v>1381908.4984177488</v>
      </c>
    </row>
    <row r="140" spans="1:6" x14ac:dyDescent="0.2">
      <c r="A140" s="26">
        <f t="shared" si="15"/>
        <v>69</v>
      </c>
      <c r="B140" s="22">
        <f t="shared" si="16"/>
        <v>1381908.4984177488</v>
      </c>
      <c r="C140" s="28">
        <f t="shared" si="17"/>
        <v>-8681.9681224442356</v>
      </c>
      <c r="D140" s="28">
        <f t="shared" si="12"/>
        <v>4794.8939645426954</v>
      </c>
      <c r="E140" s="28">
        <f t="shared" si="13"/>
        <v>-3887.0741579015403</v>
      </c>
      <c r="F140" s="23">
        <f t="shared" si="14"/>
        <v>1378021.4242598473</v>
      </c>
    </row>
    <row r="141" spans="1:6" x14ac:dyDescent="0.2">
      <c r="A141" s="26">
        <f t="shared" si="15"/>
        <v>70</v>
      </c>
      <c r="B141" s="22">
        <f t="shared" si="16"/>
        <v>1378021.4242598473</v>
      </c>
      <c r="C141" s="28">
        <f t="shared" si="17"/>
        <v>-8681.9681224442356</v>
      </c>
      <c r="D141" s="28">
        <f t="shared" si="12"/>
        <v>4781.4067412997729</v>
      </c>
      <c r="E141" s="28">
        <f t="shared" si="13"/>
        <v>-3900.5613811444628</v>
      </c>
      <c r="F141" s="23">
        <f t="shared" si="14"/>
        <v>1374120.8628787028</v>
      </c>
    </row>
    <row r="142" spans="1:6" x14ac:dyDescent="0.2">
      <c r="A142" s="26">
        <f t="shared" si="15"/>
        <v>71</v>
      </c>
      <c r="B142" s="22">
        <f t="shared" si="16"/>
        <v>1374120.8628787028</v>
      </c>
      <c r="C142" s="28">
        <f t="shared" si="17"/>
        <v>-8681.9681224442356</v>
      </c>
      <c r="D142" s="28">
        <f t="shared" si="12"/>
        <v>4767.8727205985533</v>
      </c>
      <c r="E142" s="28">
        <f t="shared" si="13"/>
        <v>-3914.0954018456823</v>
      </c>
      <c r="F142" s="23">
        <f t="shared" si="14"/>
        <v>1370206.7674768572</v>
      </c>
    </row>
    <row r="143" spans="1:6" x14ac:dyDescent="0.2">
      <c r="A143" s="26">
        <f t="shared" si="15"/>
        <v>72</v>
      </c>
      <c r="B143" s="22">
        <f t="shared" si="16"/>
        <v>1370206.7674768572</v>
      </c>
      <c r="C143" s="28">
        <f t="shared" si="17"/>
        <v>-8681.9681224442356</v>
      </c>
      <c r="D143" s="28">
        <f t="shared" si="12"/>
        <v>4754.2917400629804</v>
      </c>
      <c r="E143" s="28">
        <f t="shared" si="13"/>
        <v>-3927.6763823812553</v>
      </c>
      <c r="F143" s="23">
        <f t="shared" si="14"/>
        <v>1366279.0910944759</v>
      </c>
    </row>
    <row r="144" spans="1:6" x14ac:dyDescent="0.2">
      <c r="A144" s="26">
        <f t="shared" si="15"/>
        <v>73</v>
      </c>
      <c r="B144" s="22">
        <f t="shared" si="16"/>
        <v>1366279.0910944759</v>
      </c>
      <c r="C144" s="28">
        <f t="shared" si="17"/>
        <v>-8681.9681224442356</v>
      </c>
      <c r="D144" s="28">
        <f t="shared" si="12"/>
        <v>4740.6636367535939</v>
      </c>
      <c r="E144" s="28">
        <f t="shared" si="13"/>
        <v>-3941.3044856906417</v>
      </c>
      <c r="F144" s="23">
        <f t="shared" si="14"/>
        <v>1362337.7866087854</v>
      </c>
    </row>
    <row r="145" spans="1:6" x14ac:dyDescent="0.2">
      <c r="A145" s="26">
        <f t="shared" si="15"/>
        <v>74</v>
      </c>
      <c r="B145" s="22">
        <f t="shared" si="16"/>
        <v>1362337.7866087854</v>
      </c>
      <c r="C145" s="28">
        <f t="shared" si="17"/>
        <v>-8681.9681224442356</v>
      </c>
      <c r="D145" s="28">
        <f t="shared" si="12"/>
        <v>4726.9882471655701</v>
      </c>
      <c r="E145" s="28">
        <f t="shared" si="13"/>
        <v>-3954.9798752786655</v>
      </c>
      <c r="F145" s="23">
        <f t="shared" si="14"/>
        <v>1358382.8067335067</v>
      </c>
    </row>
    <row r="146" spans="1:6" x14ac:dyDescent="0.2">
      <c r="A146" s="26">
        <f t="shared" si="15"/>
        <v>75</v>
      </c>
      <c r="B146" s="22">
        <f t="shared" si="16"/>
        <v>1358382.8067335067</v>
      </c>
      <c r="C146" s="28">
        <f t="shared" si="17"/>
        <v>-8681.9681224442356</v>
      </c>
      <c r="D146" s="28">
        <f t="shared" si="12"/>
        <v>4713.2654072267651</v>
      </c>
      <c r="E146" s="28">
        <f t="shared" si="13"/>
        <v>-3968.7027152174705</v>
      </c>
      <c r="F146" s="23">
        <f t="shared" si="14"/>
        <v>1354414.1040182894</v>
      </c>
    </row>
    <row r="147" spans="1:6" x14ac:dyDescent="0.2">
      <c r="A147" s="26">
        <f t="shared" si="15"/>
        <v>76</v>
      </c>
      <c r="B147" s="22">
        <f t="shared" si="16"/>
        <v>1354414.1040182894</v>
      </c>
      <c r="C147" s="28">
        <f t="shared" si="17"/>
        <v>-8681.9681224442356</v>
      </c>
      <c r="D147" s="28">
        <f t="shared" si="12"/>
        <v>4699.4949522957413</v>
      </c>
      <c r="E147" s="28">
        <f t="shared" si="13"/>
        <v>-3982.4731701484943</v>
      </c>
      <c r="F147" s="23">
        <f t="shared" si="14"/>
        <v>1350431.6308481409</v>
      </c>
    </row>
    <row r="148" spans="1:6" x14ac:dyDescent="0.2">
      <c r="A148" s="26">
        <f t="shared" si="15"/>
        <v>77</v>
      </c>
      <c r="B148" s="22">
        <f t="shared" si="16"/>
        <v>1350431.6308481409</v>
      </c>
      <c r="C148" s="28">
        <f t="shared" si="17"/>
        <v>-8681.9681224442356</v>
      </c>
      <c r="D148" s="28">
        <f t="shared" si="12"/>
        <v>4685.6767171597958</v>
      </c>
      <c r="E148" s="28">
        <f t="shared" si="13"/>
        <v>-3996.2914052844399</v>
      </c>
      <c r="F148" s="23">
        <f t="shared" si="14"/>
        <v>1346435.3394428564</v>
      </c>
    </row>
    <row r="149" spans="1:6" x14ac:dyDescent="0.2">
      <c r="A149" s="26">
        <f t="shared" si="15"/>
        <v>78</v>
      </c>
      <c r="B149" s="22">
        <f t="shared" si="16"/>
        <v>1346435.3394428564</v>
      </c>
      <c r="C149" s="28">
        <f t="shared" si="17"/>
        <v>-8681.9681224442356</v>
      </c>
      <c r="D149" s="28">
        <f t="shared" si="12"/>
        <v>4671.8105360329755</v>
      </c>
      <c r="E149" s="28">
        <f t="shared" si="13"/>
        <v>-4010.1575864112601</v>
      </c>
      <c r="F149" s="23">
        <f t="shared" si="14"/>
        <v>1342425.181856445</v>
      </c>
    </row>
    <row r="150" spans="1:6" x14ac:dyDescent="0.2">
      <c r="A150" s="26">
        <f t="shared" si="15"/>
        <v>79</v>
      </c>
      <c r="B150" s="22">
        <f t="shared" si="16"/>
        <v>1342425.181856445</v>
      </c>
      <c r="C150" s="28">
        <f t="shared" si="17"/>
        <v>-8681.9681224442356</v>
      </c>
      <c r="D150" s="28">
        <f t="shared" si="12"/>
        <v>4657.8962425540913</v>
      </c>
      <c r="E150" s="28">
        <f t="shared" si="13"/>
        <v>-4024.0718798901444</v>
      </c>
      <c r="F150" s="23">
        <f t="shared" si="14"/>
        <v>1338401.109976555</v>
      </c>
    </row>
    <row r="151" spans="1:6" x14ac:dyDescent="0.2">
      <c r="A151" s="26">
        <f t="shared" si="15"/>
        <v>80</v>
      </c>
      <c r="B151" s="22">
        <f t="shared" si="16"/>
        <v>1338401.109976555</v>
      </c>
      <c r="C151" s="28">
        <f t="shared" si="17"/>
        <v>-8681.9681224442356</v>
      </c>
      <c r="D151" s="28">
        <f t="shared" si="12"/>
        <v>4643.9336697847202</v>
      </c>
      <c r="E151" s="28">
        <f t="shared" si="13"/>
        <v>-4038.0344526595154</v>
      </c>
      <c r="F151" s="23">
        <f t="shared" si="14"/>
        <v>1334363.0755238954</v>
      </c>
    </row>
    <row r="152" spans="1:6" x14ac:dyDescent="0.2">
      <c r="A152" s="26">
        <f t="shared" si="15"/>
        <v>81</v>
      </c>
      <c r="B152" s="22">
        <f t="shared" si="16"/>
        <v>1334363.0755238954</v>
      </c>
      <c r="C152" s="28">
        <f t="shared" si="17"/>
        <v>-8681.9681224442356</v>
      </c>
      <c r="D152" s="28">
        <f t="shared" si="12"/>
        <v>4629.9226502071997</v>
      </c>
      <c r="E152" s="28">
        <f t="shared" si="13"/>
        <v>-4052.0454722370359</v>
      </c>
      <c r="F152" s="23">
        <f t="shared" si="14"/>
        <v>1330311.0300516584</v>
      </c>
    </row>
    <row r="153" spans="1:6" x14ac:dyDescent="0.2">
      <c r="A153" s="26">
        <f t="shared" si="15"/>
        <v>82</v>
      </c>
      <c r="B153" s="22">
        <f t="shared" si="16"/>
        <v>1330311.0300516584</v>
      </c>
      <c r="C153" s="28">
        <f t="shared" si="17"/>
        <v>-8681.9681224442356</v>
      </c>
      <c r="D153" s="28">
        <f t="shared" si="12"/>
        <v>4615.8630157226244</v>
      </c>
      <c r="E153" s="28">
        <f t="shared" si="13"/>
        <v>-4066.1051067216113</v>
      </c>
      <c r="F153" s="23">
        <f t="shared" si="14"/>
        <v>1326244.9249449368</v>
      </c>
    </row>
    <row r="154" spans="1:6" x14ac:dyDescent="0.2">
      <c r="A154" s="26">
        <f t="shared" si="15"/>
        <v>83</v>
      </c>
      <c r="B154" s="22">
        <f t="shared" si="16"/>
        <v>1326244.9249449368</v>
      </c>
      <c r="C154" s="28">
        <f t="shared" si="17"/>
        <v>-8681.9681224442356</v>
      </c>
      <c r="D154" s="28">
        <f t="shared" si="12"/>
        <v>4601.7545976488236</v>
      </c>
      <c r="E154" s="28">
        <f t="shared" si="13"/>
        <v>-4080.213524795412</v>
      </c>
      <c r="F154" s="23">
        <f t="shared" si="14"/>
        <v>1322164.7114201414</v>
      </c>
    </row>
    <row r="155" spans="1:6" x14ac:dyDescent="0.2">
      <c r="A155" s="26">
        <f t="shared" si="15"/>
        <v>84</v>
      </c>
      <c r="B155" s="22">
        <f t="shared" si="16"/>
        <v>1322164.7114201414</v>
      </c>
      <c r="C155" s="28">
        <f t="shared" si="17"/>
        <v>-8681.9681224442356</v>
      </c>
      <c r="D155" s="28">
        <f t="shared" si="12"/>
        <v>4587.5972267183406</v>
      </c>
      <c r="E155" s="28">
        <f t="shared" si="13"/>
        <v>-4094.370895725895</v>
      </c>
      <c r="F155" s="23">
        <f t="shared" si="14"/>
        <v>1318070.3405244155</v>
      </c>
    </row>
    <row r="156" spans="1:6" x14ac:dyDescent="0.2">
      <c r="A156" s="26">
        <f t="shared" si="15"/>
        <v>85</v>
      </c>
      <c r="B156" s="22">
        <f t="shared" si="16"/>
        <v>1318070.3405244155</v>
      </c>
      <c r="C156" s="28">
        <f t="shared" si="17"/>
        <v>-8681.9681224442356</v>
      </c>
      <c r="D156" s="28">
        <f t="shared" si="12"/>
        <v>4573.3907330764005</v>
      </c>
      <c r="E156" s="28">
        <f t="shared" si="13"/>
        <v>-4108.5773893678352</v>
      </c>
      <c r="F156" s="23">
        <f t="shared" si="14"/>
        <v>1313961.7631350476</v>
      </c>
    </row>
    <row r="157" spans="1:6" x14ac:dyDescent="0.2">
      <c r="A157" s="26">
        <f t="shared" si="15"/>
        <v>86</v>
      </c>
      <c r="B157" s="22">
        <f t="shared" si="16"/>
        <v>1313961.7631350476</v>
      </c>
      <c r="C157" s="28">
        <f t="shared" si="17"/>
        <v>-8681.9681224442356</v>
      </c>
      <c r="D157" s="28">
        <f t="shared" si="12"/>
        <v>4559.1349462788712</v>
      </c>
      <c r="E157" s="28">
        <f t="shared" si="13"/>
        <v>-4122.8331761653644</v>
      </c>
      <c r="F157" s="23">
        <f t="shared" si="14"/>
        <v>1309838.9299588823</v>
      </c>
    </row>
    <row r="158" spans="1:6" x14ac:dyDescent="0.2">
      <c r="A158" s="26">
        <f t="shared" si="15"/>
        <v>87</v>
      </c>
      <c r="B158" s="22">
        <f t="shared" si="16"/>
        <v>1309838.9299588823</v>
      </c>
      <c r="C158" s="28">
        <f t="shared" si="17"/>
        <v>-8681.9681224442356</v>
      </c>
      <c r="D158" s="28">
        <f t="shared" si="12"/>
        <v>4544.8296952902228</v>
      </c>
      <c r="E158" s="28">
        <f t="shared" si="13"/>
        <v>-4137.1384271540128</v>
      </c>
      <c r="F158" s="23">
        <f t="shared" si="14"/>
        <v>1305701.7915317283</v>
      </c>
    </row>
    <row r="159" spans="1:6" x14ac:dyDescent="0.2">
      <c r="A159" s="26">
        <f t="shared" si="15"/>
        <v>88</v>
      </c>
      <c r="B159" s="22">
        <f t="shared" si="16"/>
        <v>1305701.7915317283</v>
      </c>
      <c r="C159" s="28">
        <f t="shared" si="17"/>
        <v>-8681.9681224442356</v>
      </c>
      <c r="D159" s="28">
        <f t="shared" si="12"/>
        <v>4530.4748084814719</v>
      </c>
      <c r="E159" s="28">
        <f t="shared" si="13"/>
        <v>-4151.4933139627638</v>
      </c>
      <c r="F159" s="23">
        <f t="shared" si="14"/>
        <v>1301550.2982177655</v>
      </c>
    </row>
    <row r="160" spans="1:6" x14ac:dyDescent="0.2">
      <c r="A160" s="26">
        <f t="shared" si="15"/>
        <v>89</v>
      </c>
      <c r="B160" s="22">
        <f t="shared" si="16"/>
        <v>1301550.2982177655</v>
      </c>
      <c r="C160" s="28">
        <f t="shared" si="17"/>
        <v>-8681.9681224442356</v>
      </c>
      <c r="D160" s="28">
        <f t="shared" si="12"/>
        <v>4516.0701136281214</v>
      </c>
      <c r="E160" s="28">
        <f t="shared" si="13"/>
        <v>-4165.8980088161143</v>
      </c>
      <c r="F160" s="23">
        <f t="shared" si="14"/>
        <v>1297384.4002089493</v>
      </c>
    </row>
    <row r="161" spans="1:6" x14ac:dyDescent="0.2">
      <c r="A161" s="26">
        <f t="shared" si="15"/>
        <v>90</v>
      </c>
      <c r="B161" s="22">
        <f t="shared" si="16"/>
        <v>1297384.4002089493</v>
      </c>
      <c r="C161" s="28">
        <f t="shared" si="17"/>
        <v>-8681.9681224442356</v>
      </c>
      <c r="D161" s="28">
        <f t="shared" si="12"/>
        <v>4501.6154379080981</v>
      </c>
      <c r="E161" s="28">
        <f t="shared" si="13"/>
        <v>-4180.3526845361375</v>
      </c>
      <c r="F161" s="23">
        <f t="shared" si="14"/>
        <v>1293204.0475244131</v>
      </c>
    </row>
    <row r="162" spans="1:6" x14ac:dyDescent="0.2">
      <c r="A162" s="26">
        <f t="shared" si="15"/>
        <v>91</v>
      </c>
      <c r="B162" s="22">
        <f t="shared" si="16"/>
        <v>1293204.0475244131</v>
      </c>
      <c r="C162" s="28">
        <f t="shared" si="17"/>
        <v>-8681.9681224442356</v>
      </c>
      <c r="D162" s="28">
        <f t="shared" si="12"/>
        <v>4487.1106078996763</v>
      </c>
      <c r="E162" s="28">
        <f t="shared" si="13"/>
        <v>-4194.8575145445593</v>
      </c>
      <c r="F162" s="23">
        <f t="shared" si="14"/>
        <v>1289009.1900098685</v>
      </c>
    </row>
    <row r="163" spans="1:6" x14ac:dyDescent="0.2">
      <c r="A163" s="26">
        <f t="shared" si="15"/>
        <v>92</v>
      </c>
      <c r="B163" s="22">
        <f t="shared" si="16"/>
        <v>1289009.1900098685</v>
      </c>
      <c r="C163" s="28">
        <f t="shared" si="17"/>
        <v>-8681.9681224442356</v>
      </c>
      <c r="D163" s="28">
        <f t="shared" si="12"/>
        <v>4472.5554495793995</v>
      </c>
      <c r="E163" s="28">
        <f t="shared" si="13"/>
        <v>-4209.4126728648362</v>
      </c>
      <c r="F163" s="23">
        <f t="shared" si="14"/>
        <v>1284799.7773370037</v>
      </c>
    </row>
    <row r="164" spans="1:6" x14ac:dyDescent="0.2">
      <c r="A164" s="26">
        <f t="shared" si="15"/>
        <v>93</v>
      </c>
      <c r="B164" s="22">
        <f t="shared" si="16"/>
        <v>1284799.7773370037</v>
      </c>
      <c r="C164" s="28">
        <f t="shared" si="17"/>
        <v>-8681.9681224442356</v>
      </c>
      <c r="D164" s="28">
        <f t="shared" si="12"/>
        <v>4457.9497883199901</v>
      </c>
      <c r="E164" s="28">
        <f t="shared" si="13"/>
        <v>-4224.0183341242455</v>
      </c>
      <c r="F164" s="23">
        <f t="shared" si="14"/>
        <v>1280575.7590028795</v>
      </c>
    </row>
    <row r="165" spans="1:6" x14ac:dyDescent="0.2">
      <c r="A165" s="26">
        <f t="shared" si="15"/>
        <v>94</v>
      </c>
      <c r="B165" s="22">
        <f t="shared" si="16"/>
        <v>1280575.7590028795</v>
      </c>
      <c r="C165" s="28">
        <f t="shared" si="17"/>
        <v>-8681.9681224442356</v>
      </c>
      <c r="D165" s="28">
        <f t="shared" si="12"/>
        <v>4443.2934488882547</v>
      </c>
      <c r="E165" s="28">
        <f t="shared" si="13"/>
        <v>-4238.6746735559809</v>
      </c>
      <c r="F165" s="23">
        <f t="shared" si="14"/>
        <v>1276337.0843293236</v>
      </c>
    </row>
    <row r="166" spans="1:6" x14ac:dyDescent="0.2">
      <c r="A166" s="26">
        <f t="shared" si="15"/>
        <v>95</v>
      </c>
      <c r="B166" s="22">
        <f t="shared" si="16"/>
        <v>1276337.0843293236</v>
      </c>
      <c r="C166" s="28">
        <f t="shared" si="17"/>
        <v>-8681.9681224442356</v>
      </c>
      <c r="D166" s="28">
        <f t="shared" si="12"/>
        <v>4428.5862554429841</v>
      </c>
      <c r="E166" s="28">
        <f t="shared" si="13"/>
        <v>-4253.3818670012515</v>
      </c>
      <c r="F166" s="23">
        <f t="shared" si="14"/>
        <v>1272083.7024623223</v>
      </c>
    </row>
    <row r="167" spans="1:6" x14ac:dyDescent="0.2">
      <c r="A167" s="26">
        <f t="shared" si="15"/>
        <v>96</v>
      </c>
      <c r="B167" s="22">
        <f t="shared" si="16"/>
        <v>1272083.7024623223</v>
      </c>
      <c r="C167" s="28">
        <f t="shared" si="17"/>
        <v>-8681.9681224442356</v>
      </c>
      <c r="D167" s="28">
        <f t="shared" si="12"/>
        <v>4413.8280315328402</v>
      </c>
      <c r="E167" s="28">
        <f t="shared" si="13"/>
        <v>-4268.1400909113954</v>
      </c>
      <c r="F167" s="23">
        <f t="shared" si="14"/>
        <v>1267815.5623714109</v>
      </c>
    </row>
    <row r="168" spans="1:6" x14ac:dyDescent="0.2">
      <c r="A168" s="26">
        <f t="shared" si="15"/>
        <v>97</v>
      </c>
      <c r="B168" s="22">
        <f t="shared" si="16"/>
        <v>1267815.5623714109</v>
      </c>
      <c r="C168" s="28">
        <f t="shared" si="17"/>
        <v>-8681.9681224442356</v>
      </c>
      <c r="D168" s="28">
        <f t="shared" si="12"/>
        <v>4399.0186000942422</v>
      </c>
      <c r="E168" s="28">
        <f t="shared" si="13"/>
        <v>-4282.9495223499935</v>
      </c>
      <c r="F168" s="23">
        <f t="shared" si="14"/>
        <v>1263532.6128490609</v>
      </c>
    </row>
    <row r="169" spans="1:6" x14ac:dyDescent="0.2">
      <c r="A169" s="26">
        <f t="shared" si="15"/>
        <v>98</v>
      </c>
      <c r="B169" s="22">
        <f t="shared" si="16"/>
        <v>1263532.6128490609</v>
      </c>
      <c r="C169" s="28">
        <f t="shared" si="17"/>
        <v>-8681.9681224442356</v>
      </c>
      <c r="D169" s="28">
        <f t="shared" si="12"/>
        <v>4384.15778344924</v>
      </c>
      <c r="E169" s="28">
        <f t="shared" si="13"/>
        <v>-4297.8103389949956</v>
      </c>
      <c r="F169" s="23">
        <f t="shared" si="14"/>
        <v>1259234.802510066</v>
      </c>
    </row>
    <row r="170" spans="1:6" x14ac:dyDescent="0.2">
      <c r="A170" s="26">
        <f t="shared" si="15"/>
        <v>99</v>
      </c>
      <c r="B170" s="22">
        <f t="shared" si="16"/>
        <v>1259234.802510066</v>
      </c>
      <c r="C170" s="28">
        <f t="shared" si="17"/>
        <v>-8681.9681224442356</v>
      </c>
      <c r="D170" s="28">
        <f t="shared" si="12"/>
        <v>4369.2454033033828</v>
      </c>
      <c r="E170" s="28">
        <f t="shared" si="13"/>
        <v>-4312.7227191408529</v>
      </c>
      <c r="F170" s="23">
        <f t="shared" si="14"/>
        <v>1254922.0797909251</v>
      </c>
    </row>
    <row r="171" spans="1:6" x14ac:dyDescent="0.2">
      <c r="A171" s="26">
        <f t="shared" si="15"/>
        <v>100</v>
      </c>
      <c r="B171" s="22">
        <f t="shared" si="16"/>
        <v>1254922.0797909251</v>
      </c>
      <c r="C171" s="28">
        <f t="shared" si="17"/>
        <v>-8681.9681224442356</v>
      </c>
      <c r="D171" s="28">
        <f t="shared" si="12"/>
        <v>4354.2812807435812</v>
      </c>
      <c r="E171" s="28">
        <f t="shared" si="13"/>
        <v>-4327.6868417006544</v>
      </c>
      <c r="F171" s="23">
        <f t="shared" si="14"/>
        <v>1250594.3929492244</v>
      </c>
    </row>
    <row r="172" spans="1:6" x14ac:dyDescent="0.2">
      <c r="A172" s="26">
        <f t="shared" si="15"/>
        <v>101</v>
      </c>
      <c r="B172" s="22">
        <f t="shared" si="16"/>
        <v>1250594.3929492244</v>
      </c>
      <c r="C172" s="28">
        <f t="shared" si="17"/>
        <v>-8681.9681224442356</v>
      </c>
      <c r="D172" s="28">
        <f t="shared" si="12"/>
        <v>4339.2652362359595</v>
      </c>
      <c r="E172" s="28">
        <f t="shared" si="13"/>
        <v>-4342.7028862082761</v>
      </c>
      <c r="F172" s="23">
        <f t="shared" si="14"/>
        <v>1246251.6900630163</v>
      </c>
    </row>
    <row r="173" spans="1:6" x14ac:dyDescent="0.2">
      <c r="A173" s="26">
        <f t="shared" si="15"/>
        <v>102</v>
      </c>
      <c r="B173" s="22">
        <f t="shared" si="16"/>
        <v>1246251.6900630163</v>
      </c>
      <c r="C173" s="28">
        <f t="shared" si="17"/>
        <v>-8681.9681224442356</v>
      </c>
      <c r="D173" s="28">
        <f t="shared" si="12"/>
        <v>4324.1970896237026</v>
      </c>
      <c r="E173" s="28">
        <f t="shared" si="13"/>
        <v>-4357.771032820533</v>
      </c>
      <c r="F173" s="23">
        <f t="shared" si="14"/>
        <v>1241893.9190301958</v>
      </c>
    </row>
    <row r="174" spans="1:6" x14ac:dyDescent="0.2">
      <c r="A174" s="26">
        <f t="shared" si="15"/>
        <v>103</v>
      </c>
      <c r="B174" s="22">
        <f t="shared" si="16"/>
        <v>1241893.9190301958</v>
      </c>
      <c r="C174" s="28">
        <f t="shared" si="17"/>
        <v>-8681.9681224442356</v>
      </c>
      <c r="D174" s="28">
        <f t="shared" si="12"/>
        <v>4309.0766601248943</v>
      </c>
      <c r="E174" s="28">
        <f t="shared" si="13"/>
        <v>-4372.8914623193414</v>
      </c>
      <c r="F174" s="23">
        <f t="shared" si="14"/>
        <v>1237521.0275678765</v>
      </c>
    </row>
    <row r="175" spans="1:6" x14ac:dyDescent="0.2">
      <c r="A175" s="26">
        <f t="shared" si="15"/>
        <v>104</v>
      </c>
      <c r="B175" s="22">
        <f t="shared" si="16"/>
        <v>1237521.0275678765</v>
      </c>
      <c r="C175" s="28">
        <f t="shared" si="17"/>
        <v>-8681.9681224442356</v>
      </c>
      <c r="D175" s="28">
        <f t="shared" si="12"/>
        <v>4293.903766330347</v>
      </c>
      <c r="E175" s="28">
        <f t="shared" si="13"/>
        <v>-4388.0643561138886</v>
      </c>
      <c r="F175" s="23">
        <f t="shared" si="14"/>
        <v>1233132.9632117627</v>
      </c>
    </row>
    <row r="176" spans="1:6" x14ac:dyDescent="0.2">
      <c r="A176" s="26">
        <f t="shared" si="15"/>
        <v>105</v>
      </c>
      <c r="B176" s="22">
        <f t="shared" si="16"/>
        <v>1233132.9632117627</v>
      </c>
      <c r="C176" s="28">
        <f t="shared" si="17"/>
        <v>-8681.9681224442356</v>
      </c>
      <c r="D176" s="28">
        <f t="shared" si="12"/>
        <v>4278.6782262014267</v>
      </c>
      <c r="E176" s="28">
        <f t="shared" si="13"/>
        <v>-4403.2898962428089</v>
      </c>
      <c r="F176" s="23">
        <f t="shared" si="14"/>
        <v>1228729.6733155199</v>
      </c>
    </row>
    <row r="177" spans="1:6" x14ac:dyDescent="0.2">
      <c r="A177" s="26">
        <f t="shared" si="15"/>
        <v>106</v>
      </c>
      <c r="B177" s="22">
        <f t="shared" si="16"/>
        <v>1228729.6733155199</v>
      </c>
      <c r="C177" s="28">
        <f t="shared" si="17"/>
        <v>-8681.9681224442356</v>
      </c>
      <c r="D177" s="28">
        <f t="shared" si="12"/>
        <v>4263.3998570678696</v>
      </c>
      <c r="E177" s="28">
        <f t="shared" si="13"/>
        <v>-4418.5682653763661</v>
      </c>
      <c r="F177" s="23">
        <f t="shared" si="14"/>
        <v>1224311.1050501436</v>
      </c>
    </row>
    <row r="178" spans="1:6" x14ac:dyDescent="0.2">
      <c r="A178" s="26">
        <f t="shared" si="15"/>
        <v>107</v>
      </c>
      <c r="B178" s="22">
        <f t="shared" si="16"/>
        <v>1224311.1050501436</v>
      </c>
      <c r="C178" s="28">
        <f t="shared" si="17"/>
        <v>-8681.9681224442356</v>
      </c>
      <c r="D178" s="28">
        <f t="shared" si="12"/>
        <v>4248.0684756255878</v>
      </c>
      <c r="E178" s="28">
        <f t="shared" si="13"/>
        <v>-4433.8996468186479</v>
      </c>
      <c r="F178" s="23">
        <f t="shared" si="14"/>
        <v>1219877.2054033249</v>
      </c>
    </row>
    <row r="179" spans="1:6" x14ac:dyDescent="0.2">
      <c r="A179" s="26">
        <f t="shared" si="15"/>
        <v>108</v>
      </c>
      <c r="B179" s="22">
        <f t="shared" si="16"/>
        <v>1219877.2054033249</v>
      </c>
      <c r="C179" s="28">
        <f t="shared" si="17"/>
        <v>-8681.9681224442356</v>
      </c>
      <c r="D179" s="28">
        <f t="shared" si="12"/>
        <v>4232.6838979344739</v>
      </c>
      <c r="E179" s="28">
        <f t="shared" si="13"/>
        <v>-4449.2842245097618</v>
      </c>
      <c r="F179" s="23">
        <f t="shared" si="14"/>
        <v>1215427.9211788152</v>
      </c>
    </row>
    <row r="180" spans="1:6" x14ac:dyDescent="0.2">
      <c r="A180" s="26">
        <f t="shared" si="15"/>
        <v>109</v>
      </c>
      <c r="B180" s="22">
        <f t="shared" si="16"/>
        <v>1215427.9211788152</v>
      </c>
      <c r="C180" s="28">
        <f t="shared" si="17"/>
        <v>-8681.9681224442356</v>
      </c>
      <c r="D180" s="28">
        <f t="shared" si="12"/>
        <v>4217.2459394161906</v>
      </c>
      <c r="E180" s="28">
        <f t="shared" si="13"/>
        <v>-4464.722183028045</v>
      </c>
      <c r="F180" s="23">
        <f t="shared" si="14"/>
        <v>1210963.1989957872</v>
      </c>
    </row>
    <row r="181" spans="1:6" x14ac:dyDescent="0.2">
      <c r="A181" s="26">
        <f t="shared" si="15"/>
        <v>110</v>
      </c>
      <c r="B181" s="22">
        <f t="shared" si="16"/>
        <v>1210963.1989957872</v>
      </c>
      <c r="C181" s="28">
        <f t="shared" si="17"/>
        <v>-8681.9681224442356</v>
      </c>
      <c r="D181" s="28">
        <f t="shared" si="12"/>
        <v>4201.7544148519573</v>
      </c>
      <c r="E181" s="28">
        <f t="shared" si="13"/>
        <v>-4480.2137075922783</v>
      </c>
      <c r="F181" s="23">
        <f t="shared" si="14"/>
        <v>1206482.9852881948</v>
      </c>
    </row>
    <row r="182" spans="1:6" x14ac:dyDescent="0.2">
      <c r="A182" s="26">
        <f t="shared" si="15"/>
        <v>111</v>
      </c>
      <c r="B182" s="22">
        <f t="shared" si="16"/>
        <v>1206482.9852881948</v>
      </c>
      <c r="C182" s="28">
        <f t="shared" si="17"/>
        <v>-8681.9681224442356</v>
      </c>
      <c r="D182" s="28">
        <f t="shared" si="12"/>
        <v>4186.2091383803299</v>
      </c>
      <c r="E182" s="28">
        <f t="shared" si="13"/>
        <v>-4495.7589840639057</v>
      </c>
      <c r="F182" s="23">
        <f t="shared" si="14"/>
        <v>1201987.2263041309</v>
      </c>
    </row>
    <row r="183" spans="1:6" x14ac:dyDescent="0.2">
      <c r="A183" s="26">
        <f t="shared" si="15"/>
        <v>112</v>
      </c>
      <c r="B183" s="22">
        <f t="shared" si="16"/>
        <v>1201987.2263041309</v>
      </c>
      <c r="C183" s="28">
        <f t="shared" si="17"/>
        <v>-8681.9681224442356</v>
      </c>
      <c r="D183" s="28">
        <f t="shared" si="12"/>
        <v>4170.609923494967</v>
      </c>
      <c r="E183" s="28">
        <f t="shared" si="13"/>
        <v>-4511.3581989492686</v>
      </c>
      <c r="F183" s="23">
        <f t="shared" si="14"/>
        <v>1197475.8681051815</v>
      </c>
    </row>
    <row r="184" spans="1:6" x14ac:dyDescent="0.2">
      <c r="A184" s="26">
        <f t="shared" si="15"/>
        <v>113</v>
      </c>
      <c r="B184" s="22">
        <f t="shared" si="16"/>
        <v>1197475.8681051815</v>
      </c>
      <c r="C184" s="28">
        <f t="shared" si="17"/>
        <v>-8681.9681224442356</v>
      </c>
      <c r="D184" s="28">
        <f t="shared" si="12"/>
        <v>4154.9565830423971</v>
      </c>
      <c r="E184" s="28">
        <f t="shared" si="13"/>
        <v>-4527.0115394018385</v>
      </c>
      <c r="F184" s="23">
        <f t="shared" si="14"/>
        <v>1192948.8565657795</v>
      </c>
    </row>
    <row r="185" spans="1:6" x14ac:dyDescent="0.2">
      <c r="A185" s="26">
        <f t="shared" si="15"/>
        <v>114</v>
      </c>
      <c r="B185" s="22">
        <f t="shared" si="16"/>
        <v>1192948.8565657795</v>
      </c>
      <c r="C185" s="28">
        <f t="shared" si="17"/>
        <v>-8681.9681224442356</v>
      </c>
      <c r="D185" s="28">
        <f t="shared" si="12"/>
        <v>4139.2489292197697</v>
      </c>
      <c r="E185" s="28">
        <f t="shared" si="13"/>
        <v>-4542.7191932244659</v>
      </c>
      <c r="F185" s="23">
        <f t="shared" si="14"/>
        <v>1188406.137372555</v>
      </c>
    </row>
    <row r="186" spans="1:6" x14ac:dyDescent="0.2">
      <c r="A186" s="26">
        <f t="shared" si="15"/>
        <v>115</v>
      </c>
      <c r="B186" s="22">
        <f t="shared" si="16"/>
        <v>1188406.137372555</v>
      </c>
      <c r="C186" s="28">
        <f t="shared" si="17"/>
        <v>-8681.9681224442356</v>
      </c>
      <c r="D186" s="28">
        <f t="shared" si="12"/>
        <v>4123.4867735726011</v>
      </c>
      <c r="E186" s="28">
        <f t="shared" si="13"/>
        <v>-4558.4813488716345</v>
      </c>
      <c r="F186" s="23">
        <f t="shared" si="14"/>
        <v>1183847.6560236833</v>
      </c>
    </row>
    <row r="187" spans="1:6" x14ac:dyDescent="0.2">
      <c r="A187" s="26">
        <f t="shared" si="15"/>
        <v>116</v>
      </c>
      <c r="B187" s="22">
        <f t="shared" si="16"/>
        <v>1183847.6560236833</v>
      </c>
      <c r="C187" s="28">
        <f t="shared" si="17"/>
        <v>-8681.9681224442356</v>
      </c>
      <c r="D187" s="28">
        <f t="shared" si="12"/>
        <v>4107.6699269925193</v>
      </c>
      <c r="E187" s="28">
        <f t="shared" si="13"/>
        <v>-4574.2981954517163</v>
      </c>
      <c r="F187" s="23">
        <f t="shared" si="14"/>
        <v>1179273.3578282315</v>
      </c>
    </row>
    <row r="188" spans="1:6" x14ac:dyDescent="0.2">
      <c r="A188" s="26">
        <f t="shared" si="15"/>
        <v>117</v>
      </c>
      <c r="B188" s="22">
        <f t="shared" si="16"/>
        <v>1179273.3578282315</v>
      </c>
      <c r="C188" s="28">
        <f t="shared" si="17"/>
        <v>-8681.9681224442356</v>
      </c>
      <c r="D188" s="28">
        <f t="shared" si="12"/>
        <v>4091.7981997149873</v>
      </c>
      <c r="E188" s="28">
        <f t="shared" si="13"/>
        <v>-4590.1699227292484</v>
      </c>
      <c r="F188" s="23">
        <f t="shared" si="14"/>
        <v>1174683.1879055023</v>
      </c>
    </row>
    <row r="189" spans="1:6" x14ac:dyDescent="0.2">
      <c r="A189" s="26">
        <f t="shared" si="15"/>
        <v>118</v>
      </c>
      <c r="B189" s="22">
        <f t="shared" si="16"/>
        <v>1174683.1879055023</v>
      </c>
      <c r="C189" s="28">
        <f t="shared" si="17"/>
        <v>-8681.9681224442356</v>
      </c>
      <c r="D189" s="28">
        <f t="shared" si="12"/>
        <v>4075.8714013170325</v>
      </c>
      <c r="E189" s="28">
        <f t="shared" si="13"/>
        <v>-4606.0967211272036</v>
      </c>
      <c r="F189" s="23">
        <f t="shared" si="14"/>
        <v>1170077.0911843751</v>
      </c>
    </row>
    <row r="190" spans="1:6" x14ac:dyDescent="0.2">
      <c r="A190" s="26">
        <f t="shared" si="15"/>
        <v>119</v>
      </c>
      <c r="B190" s="22">
        <f t="shared" si="16"/>
        <v>1170077.0911843751</v>
      </c>
      <c r="C190" s="28">
        <f t="shared" si="17"/>
        <v>-8681.9681224442356</v>
      </c>
      <c r="D190" s="28">
        <f t="shared" si="12"/>
        <v>4059.8893407149594</v>
      </c>
      <c r="E190" s="28">
        <f t="shared" si="13"/>
        <v>-4622.0787817292767</v>
      </c>
      <c r="F190" s="23">
        <f t="shared" si="14"/>
        <v>1165455.0124026458</v>
      </c>
    </row>
    <row r="191" spans="1:6" x14ac:dyDescent="0.2">
      <c r="A191" s="26">
        <f t="shared" si="15"/>
        <v>120</v>
      </c>
      <c r="B191" s="22">
        <f t="shared" si="16"/>
        <v>1165455.0124026458</v>
      </c>
      <c r="C191" s="28">
        <f t="shared" si="17"/>
        <v>-8681.9681224442356</v>
      </c>
      <c r="D191" s="28">
        <f t="shared" si="12"/>
        <v>4043.8518261620566</v>
      </c>
      <c r="E191" s="28">
        <f t="shared" si="13"/>
        <v>-4638.1162962821791</v>
      </c>
      <c r="F191" s="23">
        <f t="shared" si="14"/>
        <v>1160816.8961063635</v>
      </c>
    </row>
    <row r="192" spans="1:6" x14ac:dyDescent="0.2">
      <c r="A192" s="26">
        <f t="shared" si="15"/>
        <v>121</v>
      </c>
      <c r="B192" s="22">
        <f t="shared" si="16"/>
        <v>1160816.8961063635</v>
      </c>
      <c r="C192" s="28">
        <f t="shared" si="17"/>
        <v>-8681.9681224442356</v>
      </c>
      <c r="D192" s="28">
        <f t="shared" si="12"/>
        <v>4027.7586652462978</v>
      </c>
      <c r="E192" s="28">
        <f t="shared" si="13"/>
        <v>-4654.2094571979378</v>
      </c>
      <c r="F192" s="23">
        <f t="shared" si="14"/>
        <v>1156162.6866491656</v>
      </c>
    </row>
    <row r="193" spans="1:6" x14ac:dyDescent="0.2">
      <c r="A193" s="26">
        <f t="shared" si="15"/>
        <v>122</v>
      </c>
      <c r="B193" s="22">
        <f t="shared" si="16"/>
        <v>1156162.6866491656</v>
      </c>
      <c r="C193" s="28">
        <f t="shared" si="17"/>
        <v>-8681.9681224442356</v>
      </c>
      <c r="D193" s="28">
        <f t="shared" si="12"/>
        <v>4011.6096648880343</v>
      </c>
      <c r="E193" s="28">
        <f t="shared" si="13"/>
        <v>-4670.3584575562018</v>
      </c>
      <c r="F193" s="23">
        <f t="shared" si="14"/>
        <v>1151492.3281916094</v>
      </c>
    </row>
    <row r="194" spans="1:6" x14ac:dyDescent="0.2">
      <c r="A194" s="26">
        <f t="shared" si="15"/>
        <v>123</v>
      </c>
      <c r="B194" s="22">
        <f t="shared" si="16"/>
        <v>1151492.3281916094</v>
      </c>
      <c r="C194" s="28">
        <f t="shared" si="17"/>
        <v>-8681.9681224442356</v>
      </c>
      <c r="D194" s="28">
        <f t="shared" si="12"/>
        <v>3995.4046313376743</v>
      </c>
      <c r="E194" s="28">
        <f t="shared" si="13"/>
        <v>-4686.5634911065608</v>
      </c>
      <c r="F194" s="23">
        <f t="shared" si="14"/>
        <v>1146805.7647005029</v>
      </c>
    </row>
    <row r="195" spans="1:6" x14ac:dyDescent="0.2">
      <c r="A195" s="26">
        <f t="shared" si="15"/>
        <v>124</v>
      </c>
      <c r="B195" s="22">
        <f t="shared" si="16"/>
        <v>1146805.7647005029</v>
      </c>
      <c r="C195" s="28">
        <f t="shared" si="17"/>
        <v>-8681.9681224442356</v>
      </c>
      <c r="D195" s="28">
        <f t="shared" si="12"/>
        <v>3979.1433701733627</v>
      </c>
      <c r="E195" s="28">
        <f t="shared" si="13"/>
        <v>-4702.8247522708734</v>
      </c>
      <c r="F195" s="23">
        <f t="shared" si="14"/>
        <v>1142102.9399482319</v>
      </c>
    </row>
    <row r="196" spans="1:6" x14ac:dyDescent="0.2">
      <c r="A196" s="26">
        <f t="shared" si="15"/>
        <v>125</v>
      </c>
      <c r="B196" s="22">
        <f t="shared" si="16"/>
        <v>1142102.9399482319</v>
      </c>
      <c r="C196" s="28">
        <f t="shared" si="17"/>
        <v>-8681.9681224442356</v>
      </c>
      <c r="D196" s="28">
        <f t="shared" si="12"/>
        <v>3962.8256862986455</v>
      </c>
      <c r="E196" s="28">
        <f t="shared" si="13"/>
        <v>-4719.1424361455902</v>
      </c>
      <c r="F196" s="23">
        <f t="shared" si="14"/>
        <v>1137383.7975120863</v>
      </c>
    </row>
    <row r="197" spans="1:6" x14ac:dyDescent="0.2">
      <c r="A197" s="26">
        <f t="shared" si="15"/>
        <v>126</v>
      </c>
      <c r="B197" s="22">
        <f t="shared" si="16"/>
        <v>1137383.7975120863</v>
      </c>
      <c r="C197" s="28">
        <f t="shared" si="17"/>
        <v>-8681.9681224442356</v>
      </c>
      <c r="D197" s="28">
        <f t="shared" si="12"/>
        <v>3946.451383940132</v>
      </c>
      <c r="E197" s="28">
        <f t="shared" si="13"/>
        <v>-4735.5167385041041</v>
      </c>
      <c r="F197" s="23">
        <f t="shared" si="14"/>
        <v>1132648.2807735822</v>
      </c>
    </row>
    <row r="198" spans="1:6" x14ac:dyDescent="0.2">
      <c r="A198" s="26">
        <f t="shared" si="15"/>
        <v>127</v>
      </c>
      <c r="B198" s="22">
        <f t="shared" si="16"/>
        <v>1132648.2807735822</v>
      </c>
      <c r="C198" s="28">
        <f t="shared" si="17"/>
        <v>-8681.9681224442356</v>
      </c>
      <c r="D198" s="28">
        <f t="shared" si="12"/>
        <v>3930.0202666451423</v>
      </c>
      <c r="E198" s="28">
        <f t="shared" si="13"/>
        <v>-4751.9478557990933</v>
      </c>
      <c r="F198" s="23">
        <f t="shared" si="14"/>
        <v>1127896.3329177832</v>
      </c>
    </row>
    <row r="199" spans="1:6" x14ac:dyDescent="0.2">
      <c r="A199" s="26">
        <f t="shared" si="15"/>
        <v>128</v>
      </c>
      <c r="B199" s="22">
        <f t="shared" si="16"/>
        <v>1127896.3329177832</v>
      </c>
      <c r="C199" s="28">
        <f t="shared" si="17"/>
        <v>-8681.9681224442356</v>
      </c>
      <c r="D199" s="28">
        <f t="shared" si="12"/>
        <v>3913.5321372793555</v>
      </c>
      <c r="E199" s="28">
        <f t="shared" si="13"/>
        <v>-4768.4359851648805</v>
      </c>
      <c r="F199" s="23">
        <f t="shared" si="14"/>
        <v>1123127.8969326182</v>
      </c>
    </row>
    <row r="200" spans="1:6" x14ac:dyDescent="0.2">
      <c r="A200" s="26">
        <f t="shared" si="15"/>
        <v>129</v>
      </c>
      <c r="B200" s="22">
        <f t="shared" si="16"/>
        <v>1123127.8969326182</v>
      </c>
      <c r="C200" s="28">
        <f t="shared" si="17"/>
        <v>-8681.9681224442356</v>
      </c>
      <c r="D200" s="28">
        <f t="shared" ref="D200:D263" si="18">+B200*$B$14</f>
        <v>3896.986798024438</v>
      </c>
      <c r="E200" s="28">
        <f t="shared" ref="E200:E263" si="19">+C200+D200</f>
        <v>-4784.9813244197976</v>
      </c>
      <c r="F200" s="23">
        <f t="shared" ref="F200:F263" si="20">+B200+E200</f>
        <v>1118342.9156081984</v>
      </c>
    </row>
    <row r="201" spans="1:6" x14ac:dyDescent="0.2">
      <c r="A201" s="26">
        <f t="shared" ref="A201:A264" si="21">1+A200</f>
        <v>130</v>
      </c>
      <c r="B201" s="22">
        <f t="shared" ref="B201:B264" si="22">F200</f>
        <v>1118342.9156081984</v>
      </c>
      <c r="C201" s="28">
        <f t="shared" ref="C201:C264" si="23">C200</f>
        <v>-8681.9681224442356</v>
      </c>
      <c r="D201" s="28">
        <f t="shared" si="18"/>
        <v>3880.3840503756755</v>
      </c>
      <c r="E201" s="28">
        <f t="shared" si="19"/>
        <v>-4801.5840720685601</v>
      </c>
      <c r="F201" s="23">
        <f t="shared" si="20"/>
        <v>1113541.3315361298</v>
      </c>
    </row>
    <row r="202" spans="1:6" x14ac:dyDescent="0.2">
      <c r="A202" s="26">
        <f t="shared" si="21"/>
        <v>131</v>
      </c>
      <c r="B202" s="22">
        <f t="shared" si="22"/>
        <v>1113541.3315361298</v>
      </c>
      <c r="C202" s="28">
        <f t="shared" si="23"/>
        <v>-8681.9681224442356</v>
      </c>
      <c r="D202" s="28">
        <f t="shared" si="18"/>
        <v>3863.7236951395894</v>
      </c>
      <c r="E202" s="28">
        <f t="shared" si="19"/>
        <v>-4818.2444273046458</v>
      </c>
      <c r="F202" s="23">
        <f t="shared" si="20"/>
        <v>1108723.0871088251</v>
      </c>
    </row>
    <row r="203" spans="1:6" x14ac:dyDescent="0.2">
      <c r="A203" s="26">
        <f t="shared" si="21"/>
        <v>132</v>
      </c>
      <c r="B203" s="22">
        <f t="shared" si="22"/>
        <v>1108723.0871088251</v>
      </c>
      <c r="C203" s="28">
        <f t="shared" si="23"/>
        <v>-8681.9681224442356</v>
      </c>
      <c r="D203" s="28">
        <f t="shared" si="18"/>
        <v>3847.0055324315467</v>
      </c>
      <c r="E203" s="28">
        <f t="shared" si="19"/>
        <v>-4834.9625900126885</v>
      </c>
      <c r="F203" s="23">
        <f t="shared" si="20"/>
        <v>1103888.1245188124</v>
      </c>
    </row>
    <row r="204" spans="1:6" x14ac:dyDescent="0.2">
      <c r="A204" s="26">
        <f t="shared" si="21"/>
        <v>133</v>
      </c>
      <c r="B204" s="22">
        <f t="shared" si="22"/>
        <v>1103888.1245188124</v>
      </c>
      <c r="C204" s="28">
        <f t="shared" si="23"/>
        <v>-8681.9681224442356</v>
      </c>
      <c r="D204" s="28">
        <f t="shared" si="18"/>
        <v>3830.2293616733627</v>
      </c>
      <c r="E204" s="28">
        <f t="shared" si="19"/>
        <v>-4851.7387607708733</v>
      </c>
      <c r="F204" s="23">
        <f t="shared" si="20"/>
        <v>1099036.3857580416</v>
      </c>
    </row>
    <row r="205" spans="1:6" x14ac:dyDescent="0.2">
      <c r="A205" s="26">
        <f t="shared" si="21"/>
        <v>134</v>
      </c>
      <c r="B205" s="22">
        <f t="shared" si="22"/>
        <v>1099036.3857580416</v>
      </c>
      <c r="C205" s="28">
        <f t="shared" si="23"/>
        <v>-8681.9681224442356</v>
      </c>
      <c r="D205" s="28">
        <f t="shared" si="18"/>
        <v>3813.3949815908945</v>
      </c>
      <c r="E205" s="28">
        <f t="shared" si="19"/>
        <v>-4868.5731408533411</v>
      </c>
      <c r="F205" s="23">
        <f t="shared" si="20"/>
        <v>1094167.8126171883</v>
      </c>
    </row>
    <row r="206" spans="1:6" x14ac:dyDescent="0.2">
      <c r="A206" s="26">
        <f t="shared" si="21"/>
        <v>135</v>
      </c>
      <c r="B206" s="22">
        <f t="shared" si="22"/>
        <v>1094167.8126171883</v>
      </c>
      <c r="C206" s="28">
        <f t="shared" si="23"/>
        <v>-8681.9681224442356</v>
      </c>
      <c r="D206" s="28">
        <f t="shared" si="18"/>
        <v>3796.5021902116237</v>
      </c>
      <c r="E206" s="28">
        <f t="shared" si="19"/>
        <v>-4885.4659322326115</v>
      </c>
      <c r="F206" s="23">
        <f t="shared" si="20"/>
        <v>1089282.3466849558</v>
      </c>
    </row>
    <row r="207" spans="1:6" x14ac:dyDescent="0.2">
      <c r="A207" s="26">
        <f t="shared" si="21"/>
        <v>136</v>
      </c>
      <c r="B207" s="22">
        <f t="shared" si="22"/>
        <v>1089282.3466849558</v>
      </c>
      <c r="C207" s="28">
        <f t="shared" si="23"/>
        <v>-8681.9681224442356</v>
      </c>
      <c r="D207" s="28">
        <f t="shared" si="18"/>
        <v>3779.5507848622374</v>
      </c>
      <c r="E207" s="28">
        <f t="shared" si="19"/>
        <v>-4902.4173375819983</v>
      </c>
      <c r="F207" s="23">
        <f t="shared" si="20"/>
        <v>1084379.9293473738</v>
      </c>
    </row>
    <row r="208" spans="1:6" x14ac:dyDescent="0.2">
      <c r="A208" s="26">
        <f t="shared" si="21"/>
        <v>137</v>
      </c>
      <c r="B208" s="22">
        <f t="shared" si="22"/>
        <v>1084379.9293473738</v>
      </c>
      <c r="C208" s="28">
        <f t="shared" si="23"/>
        <v>-8681.9681224442356</v>
      </c>
      <c r="D208" s="28">
        <f t="shared" si="18"/>
        <v>3762.5405621661939</v>
      </c>
      <c r="E208" s="28">
        <f t="shared" si="19"/>
        <v>-4919.4275602780417</v>
      </c>
      <c r="F208" s="23">
        <f t="shared" si="20"/>
        <v>1079460.5017870958</v>
      </c>
    </row>
    <row r="209" spans="1:6" x14ac:dyDescent="0.2">
      <c r="A209" s="26">
        <f t="shared" si="21"/>
        <v>138</v>
      </c>
      <c r="B209" s="22">
        <f t="shared" si="22"/>
        <v>1079460.5017870958</v>
      </c>
      <c r="C209" s="28">
        <f t="shared" si="23"/>
        <v>-8681.9681224442356</v>
      </c>
      <c r="D209" s="28">
        <f t="shared" si="18"/>
        <v>3745.4713180412828</v>
      </c>
      <c r="E209" s="28">
        <f t="shared" si="19"/>
        <v>-4936.4968044029529</v>
      </c>
      <c r="F209" s="23">
        <f t="shared" si="20"/>
        <v>1074524.0049826929</v>
      </c>
    </row>
    <row r="210" spans="1:6" x14ac:dyDescent="0.2">
      <c r="A210" s="26">
        <f t="shared" si="21"/>
        <v>139</v>
      </c>
      <c r="B210" s="22">
        <f t="shared" si="22"/>
        <v>1074524.0049826929</v>
      </c>
      <c r="C210" s="28">
        <f t="shared" si="23"/>
        <v>-8681.9681224442356</v>
      </c>
      <c r="D210" s="28">
        <f t="shared" si="18"/>
        <v>3728.3428476971771</v>
      </c>
      <c r="E210" s="28">
        <f t="shared" si="19"/>
        <v>-4953.6252747470589</v>
      </c>
      <c r="F210" s="23">
        <f t="shared" si="20"/>
        <v>1069570.3797079457</v>
      </c>
    </row>
    <row r="211" spans="1:6" x14ac:dyDescent="0.2">
      <c r="A211" s="26">
        <f t="shared" si="21"/>
        <v>140</v>
      </c>
      <c r="B211" s="22">
        <f t="shared" si="22"/>
        <v>1069570.3797079457</v>
      </c>
      <c r="C211" s="28">
        <f t="shared" si="23"/>
        <v>-8681.9681224442356</v>
      </c>
      <c r="D211" s="28">
        <f t="shared" si="18"/>
        <v>3711.1549456329763</v>
      </c>
      <c r="E211" s="28">
        <f t="shared" si="19"/>
        <v>-4970.8131768112598</v>
      </c>
      <c r="F211" s="23">
        <f t="shared" si="20"/>
        <v>1064599.5665311345</v>
      </c>
    </row>
    <row r="212" spans="1:6" x14ac:dyDescent="0.2">
      <c r="A212" s="26">
        <f t="shared" si="21"/>
        <v>141</v>
      </c>
      <c r="B212" s="22">
        <f t="shared" si="22"/>
        <v>1064599.5665311345</v>
      </c>
      <c r="C212" s="28">
        <f t="shared" si="23"/>
        <v>-8681.9681224442356</v>
      </c>
      <c r="D212" s="28">
        <f t="shared" si="18"/>
        <v>3693.9074056347408</v>
      </c>
      <c r="E212" s="28">
        <f t="shared" si="19"/>
        <v>-4988.0607168094948</v>
      </c>
      <c r="F212" s="23">
        <f t="shared" si="20"/>
        <v>1059611.5058143251</v>
      </c>
    </row>
    <row r="213" spans="1:6" x14ac:dyDescent="0.2">
      <c r="A213" s="26">
        <f t="shared" si="21"/>
        <v>142</v>
      </c>
      <c r="B213" s="22">
        <f t="shared" si="22"/>
        <v>1059611.5058143251</v>
      </c>
      <c r="C213" s="28">
        <f t="shared" si="23"/>
        <v>-8681.9681224442356</v>
      </c>
      <c r="D213" s="28">
        <f t="shared" si="18"/>
        <v>3676.6000207730176</v>
      </c>
      <c r="E213" s="28">
        <f t="shared" si="19"/>
        <v>-5005.368101671218</v>
      </c>
      <c r="F213" s="23">
        <f t="shared" si="20"/>
        <v>1054606.137712654</v>
      </c>
    </row>
    <row r="214" spans="1:6" x14ac:dyDescent="0.2">
      <c r="A214" s="26">
        <f t="shared" si="21"/>
        <v>143</v>
      </c>
      <c r="B214" s="22">
        <f t="shared" si="22"/>
        <v>1054606.137712654</v>
      </c>
      <c r="C214" s="28">
        <f t="shared" si="23"/>
        <v>-8681.9681224442356</v>
      </c>
      <c r="D214" s="28">
        <f t="shared" si="18"/>
        <v>3659.2325834003573</v>
      </c>
      <c r="E214" s="28">
        <f t="shared" si="19"/>
        <v>-5022.7355390438788</v>
      </c>
      <c r="F214" s="23">
        <f t="shared" si="20"/>
        <v>1049583.4021736102</v>
      </c>
    </row>
    <row r="215" spans="1:6" x14ac:dyDescent="0.2">
      <c r="A215" s="26">
        <f t="shared" si="21"/>
        <v>144</v>
      </c>
      <c r="B215" s="22">
        <f t="shared" si="22"/>
        <v>1049583.4021736102</v>
      </c>
      <c r="C215" s="28">
        <f t="shared" si="23"/>
        <v>-8681.9681224442356</v>
      </c>
      <c r="D215" s="28">
        <f t="shared" si="18"/>
        <v>3641.8048851488229</v>
      </c>
      <c r="E215" s="28">
        <f t="shared" si="19"/>
        <v>-5040.1632372954127</v>
      </c>
      <c r="F215" s="23">
        <f t="shared" si="20"/>
        <v>1044543.2389363147</v>
      </c>
    </row>
    <row r="216" spans="1:6" x14ac:dyDescent="0.2">
      <c r="A216" s="26">
        <f t="shared" si="21"/>
        <v>145</v>
      </c>
      <c r="B216" s="22">
        <f t="shared" si="22"/>
        <v>1044543.2389363147</v>
      </c>
      <c r="C216" s="28">
        <f t="shared" si="23"/>
        <v>-8681.9681224442356</v>
      </c>
      <c r="D216" s="28">
        <f t="shared" si="18"/>
        <v>3624.3167169274911</v>
      </c>
      <c r="E216" s="28">
        <f t="shared" si="19"/>
        <v>-5057.6514055167445</v>
      </c>
      <c r="F216" s="23">
        <f t="shared" si="20"/>
        <v>1039485.5875307979</v>
      </c>
    </row>
    <row r="217" spans="1:6" x14ac:dyDescent="0.2">
      <c r="A217" s="26">
        <f t="shared" si="21"/>
        <v>146</v>
      </c>
      <c r="B217" s="22">
        <f t="shared" si="22"/>
        <v>1039485.5875307979</v>
      </c>
      <c r="C217" s="28">
        <f t="shared" si="23"/>
        <v>-8681.9681224442356</v>
      </c>
      <c r="D217" s="28">
        <f t="shared" si="18"/>
        <v>3606.767868919942</v>
      </c>
      <c r="E217" s="28">
        <f t="shared" si="19"/>
        <v>-5075.2002535242937</v>
      </c>
      <c r="F217" s="23">
        <f t="shared" si="20"/>
        <v>1034410.3872772737</v>
      </c>
    </row>
    <row r="218" spans="1:6" x14ac:dyDescent="0.2">
      <c r="A218" s="26">
        <f t="shared" si="21"/>
        <v>147</v>
      </c>
      <c r="B218" s="22">
        <f t="shared" si="22"/>
        <v>1034410.3872772737</v>
      </c>
      <c r="C218" s="28">
        <f t="shared" si="23"/>
        <v>-8681.9681224442356</v>
      </c>
      <c r="D218" s="28">
        <f t="shared" si="18"/>
        <v>3589.158130581744</v>
      </c>
      <c r="E218" s="28">
        <f t="shared" si="19"/>
        <v>-5092.8099918624921</v>
      </c>
      <c r="F218" s="23">
        <f t="shared" si="20"/>
        <v>1029317.5772854112</v>
      </c>
    </row>
    <row r="219" spans="1:6" x14ac:dyDescent="0.2">
      <c r="A219" s="26">
        <f t="shared" si="21"/>
        <v>148</v>
      </c>
      <c r="B219" s="22">
        <f t="shared" si="22"/>
        <v>1029317.5772854112</v>
      </c>
      <c r="C219" s="28">
        <f t="shared" si="23"/>
        <v>-8681.9681224442356</v>
      </c>
      <c r="D219" s="28">
        <f t="shared" si="18"/>
        <v>3571.4872906379242</v>
      </c>
      <c r="E219" s="28">
        <f t="shared" si="19"/>
        <v>-5110.4808318063115</v>
      </c>
      <c r="F219" s="23">
        <f t="shared" si="20"/>
        <v>1024207.0964536049</v>
      </c>
    </row>
    <row r="220" spans="1:6" x14ac:dyDescent="0.2">
      <c r="A220" s="26">
        <f t="shared" si="21"/>
        <v>149</v>
      </c>
      <c r="B220" s="22">
        <f t="shared" si="22"/>
        <v>1024207.0964536049</v>
      </c>
      <c r="C220" s="28">
        <f t="shared" si="23"/>
        <v>-8681.9681224442356</v>
      </c>
      <c r="D220" s="28">
        <f t="shared" si="18"/>
        <v>3553.7551370804376</v>
      </c>
      <c r="E220" s="28">
        <f t="shared" si="19"/>
        <v>-5128.212985363798</v>
      </c>
      <c r="F220" s="23">
        <f t="shared" si="20"/>
        <v>1019078.8834682411</v>
      </c>
    </row>
    <row r="221" spans="1:6" x14ac:dyDescent="0.2">
      <c r="A221" s="26">
        <f t="shared" si="21"/>
        <v>150</v>
      </c>
      <c r="B221" s="22">
        <f t="shared" si="22"/>
        <v>1019078.8834682411</v>
      </c>
      <c r="C221" s="28">
        <f t="shared" si="23"/>
        <v>-8681.9681224442356</v>
      </c>
      <c r="D221" s="28">
        <f t="shared" si="18"/>
        <v>3535.9614571656211</v>
      </c>
      <c r="E221" s="28">
        <f t="shared" si="19"/>
        <v>-5146.0066652786145</v>
      </c>
      <c r="F221" s="23">
        <f t="shared" si="20"/>
        <v>1013932.8768029625</v>
      </c>
    </row>
    <row r="222" spans="1:6" x14ac:dyDescent="0.2">
      <c r="A222" s="26">
        <f t="shared" si="21"/>
        <v>151</v>
      </c>
      <c r="B222" s="22">
        <f t="shared" si="22"/>
        <v>1013932.8768029625</v>
      </c>
      <c r="C222" s="28">
        <f t="shared" si="23"/>
        <v>-8681.9681224442356</v>
      </c>
      <c r="D222" s="28">
        <f t="shared" si="18"/>
        <v>3518.1060374116414</v>
      </c>
      <c r="E222" s="28">
        <f t="shared" si="19"/>
        <v>-5163.8620850325942</v>
      </c>
      <c r="F222" s="23">
        <f t="shared" si="20"/>
        <v>1008769.0147179299</v>
      </c>
    </row>
    <row r="223" spans="1:6" x14ac:dyDescent="0.2">
      <c r="A223" s="26">
        <f t="shared" si="21"/>
        <v>152</v>
      </c>
      <c r="B223" s="22">
        <f t="shared" si="22"/>
        <v>1008769.0147179299</v>
      </c>
      <c r="C223" s="28">
        <f t="shared" si="23"/>
        <v>-8681.9681224442356</v>
      </c>
      <c r="D223" s="28">
        <f t="shared" si="18"/>
        <v>3500.1886635959336</v>
      </c>
      <c r="E223" s="28">
        <f t="shared" si="19"/>
        <v>-5181.7794588483021</v>
      </c>
      <c r="F223" s="23">
        <f t="shared" si="20"/>
        <v>1003587.2352590816</v>
      </c>
    </row>
    <row r="224" spans="1:6" x14ac:dyDescent="0.2">
      <c r="A224" s="26">
        <f t="shared" si="21"/>
        <v>153</v>
      </c>
      <c r="B224" s="22">
        <f t="shared" si="22"/>
        <v>1003587.2352590816</v>
      </c>
      <c r="C224" s="28">
        <f t="shared" si="23"/>
        <v>-8681.9681224442356</v>
      </c>
      <c r="D224" s="28">
        <f t="shared" si="18"/>
        <v>3482.2091207526332</v>
      </c>
      <c r="E224" s="28">
        <f t="shared" si="19"/>
        <v>-5199.759001691602</v>
      </c>
      <c r="F224" s="23">
        <f t="shared" si="20"/>
        <v>998387.47625738999</v>
      </c>
    </row>
    <row r="225" spans="1:6" x14ac:dyDescent="0.2">
      <c r="A225" s="26">
        <f t="shared" si="21"/>
        <v>154</v>
      </c>
      <c r="B225" s="22">
        <f t="shared" si="22"/>
        <v>998387.47625738999</v>
      </c>
      <c r="C225" s="28">
        <f t="shared" si="23"/>
        <v>-8681.9681224442356</v>
      </c>
      <c r="D225" s="28">
        <f t="shared" si="18"/>
        <v>3464.1671931699934</v>
      </c>
      <c r="E225" s="28">
        <f t="shared" si="19"/>
        <v>-5217.8009292742427</v>
      </c>
      <c r="F225" s="23">
        <f t="shared" si="20"/>
        <v>993169.6753281157</v>
      </c>
    </row>
    <row r="226" spans="1:6" x14ac:dyDescent="0.2">
      <c r="A226" s="26">
        <f t="shared" si="21"/>
        <v>155</v>
      </c>
      <c r="B226" s="22">
        <f t="shared" si="22"/>
        <v>993169.6753281157</v>
      </c>
      <c r="C226" s="28">
        <f t="shared" si="23"/>
        <v>-8681.9681224442356</v>
      </c>
      <c r="D226" s="28">
        <f t="shared" si="18"/>
        <v>3446.0626643877995</v>
      </c>
      <c r="E226" s="28">
        <f t="shared" si="19"/>
        <v>-5235.9054580564361</v>
      </c>
      <c r="F226" s="23">
        <f t="shared" si="20"/>
        <v>987933.76987005922</v>
      </c>
    </row>
    <row r="227" spans="1:6" x14ac:dyDescent="0.2">
      <c r="A227" s="26">
        <f t="shared" si="21"/>
        <v>156</v>
      </c>
      <c r="B227" s="22">
        <f t="shared" si="22"/>
        <v>987933.76987005922</v>
      </c>
      <c r="C227" s="28">
        <f t="shared" si="23"/>
        <v>-8681.9681224442356</v>
      </c>
      <c r="D227" s="28">
        <f t="shared" si="18"/>
        <v>3427.8953171947715</v>
      </c>
      <c r="E227" s="28">
        <f t="shared" si="19"/>
        <v>-5254.0728052494642</v>
      </c>
      <c r="F227" s="23">
        <f t="shared" si="20"/>
        <v>982679.69706480973</v>
      </c>
    </row>
    <row r="228" spans="1:6" x14ac:dyDescent="0.2">
      <c r="A228" s="26">
        <f t="shared" si="21"/>
        <v>157</v>
      </c>
      <c r="B228" s="22">
        <f t="shared" si="22"/>
        <v>982679.69706480973</v>
      </c>
      <c r="C228" s="28">
        <f t="shared" si="23"/>
        <v>-8681.9681224442356</v>
      </c>
      <c r="D228" s="28">
        <f t="shared" si="18"/>
        <v>3409.6649336259579</v>
      </c>
      <c r="E228" s="28">
        <f t="shared" si="19"/>
        <v>-5272.3031888182777</v>
      </c>
      <c r="F228" s="23">
        <f t="shared" si="20"/>
        <v>977407.39387599146</v>
      </c>
    </row>
    <row r="229" spans="1:6" x14ac:dyDescent="0.2">
      <c r="A229" s="26">
        <f t="shared" si="21"/>
        <v>158</v>
      </c>
      <c r="B229" s="22">
        <f t="shared" si="22"/>
        <v>977407.39387599146</v>
      </c>
      <c r="C229" s="28">
        <f t="shared" si="23"/>
        <v>-8681.9681224442356</v>
      </c>
      <c r="D229" s="28">
        <f t="shared" si="18"/>
        <v>3391.3712949601208</v>
      </c>
      <c r="E229" s="28">
        <f t="shared" si="19"/>
        <v>-5290.5968274841143</v>
      </c>
      <c r="F229" s="23">
        <f t="shared" si="20"/>
        <v>972116.79704850737</v>
      </c>
    </row>
    <row r="230" spans="1:6" x14ac:dyDescent="0.2">
      <c r="A230" s="26">
        <f t="shared" si="21"/>
        <v>159</v>
      </c>
      <c r="B230" s="22">
        <f t="shared" si="22"/>
        <v>972116.79704850737</v>
      </c>
      <c r="C230" s="28">
        <f t="shared" si="23"/>
        <v>-8681.9681224442356</v>
      </c>
      <c r="D230" s="28">
        <f t="shared" si="18"/>
        <v>3373.0141817171111</v>
      </c>
      <c r="E230" s="28">
        <f t="shared" si="19"/>
        <v>-5308.9539407271241</v>
      </c>
      <c r="F230" s="23">
        <f t="shared" si="20"/>
        <v>966807.84310778021</v>
      </c>
    </row>
    <row r="231" spans="1:6" x14ac:dyDescent="0.2">
      <c r="A231" s="26">
        <f t="shared" si="21"/>
        <v>160</v>
      </c>
      <c r="B231" s="22">
        <f t="shared" si="22"/>
        <v>966807.84310778021</v>
      </c>
      <c r="C231" s="28">
        <f t="shared" si="23"/>
        <v>-8681.9681224442356</v>
      </c>
      <c r="D231" s="28">
        <f t="shared" si="18"/>
        <v>3354.5933736552356</v>
      </c>
      <c r="E231" s="28">
        <f t="shared" si="19"/>
        <v>-5327.3747487889996</v>
      </c>
      <c r="F231" s="23">
        <f t="shared" si="20"/>
        <v>961480.4683589912</v>
      </c>
    </row>
    <row r="232" spans="1:6" x14ac:dyDescent="0.2">
      <c r="A232" s="26">
        <f t="shared" si="21"/>
        <v>161</v>
      </c>
      <c r="B232" s="22">
        <f t="shared" si="22"/>
        <v>961480.4683589912</v>
      </c>
      <c r="C232" s="28">
        <f t="shared" si="23"/>
        <v>-8681.9681224442356</v>
      </c>
      <c r="D232" s="28">
        <f t="shared" si="18"/>
        <v>3336.1086497686156</v>
      </c>
      <c r="E232" s="28">
        <f t="shared" si="19"/>
        <v>-5345.8594726756201</v>
      </c>
      <c r="F232" s="23">
        <f t="shared" si="20"/>
        <v>956134.6088863156</v>
      </c>
    </row>
    <row r="233" spans="1:6" x14ac:dyDescent="0.2">
      <c r="A233" s="26">
        <f t="shared" si="21"/>
        <v>162</v>
      </c>
      <c r="B233" s="22">
        <f t="shared" si="22"/>
        <v>956134.6088863156</v>
      </c>
      <c r="C233" s="28">
        <f t="shared" si="23"/>
        <v>-8681.9681224442356</v>
      </c>
      <c r="D233" s="28">
        <f t="shared" si="18"/>
        <v>3317.5597882845345</v>
      </c>
      <c r="E233" s="28">
        <f t="shared" si="19"/>
        <v>-5364.4083341597016</v>
      </c>
      <c r="F233" s="23">
        <f t="shared" si="20"/>
        <v>950770.20055215585</v>
      </c>
    </row>
    <row r="234" spans="1:6" x14ac:dyDescent="0.2">
      <c r="A234" s="26">
        <f t="shared" si="21"/>
        <v>163</v>
      </c>
      <c r="B234" s="22">
        <f t="shared" si="22"/>
        <v>950770.20055215585</v>
      </c>
      <c r="C234" s="28">
        <f t="shared" si="23"/>
        <v>-8681.9681224442356</v>
      </c>
      <c r="D234" s="28">
        <f t="shared" si="18"/>
        <v>3298.9465666607757</v>
      </c>
      <c r="E234" s="28">
        <f t="shared" si="19"/>
        <v>-5383.0215557834599</v>
      </c>
      <c r="F234" s="23">
        <f t="shared" si="20"/>
        <v>945387.17899637239</v>
      </c>
    </row>
    <row r="235" spans="1:6" x14ac:dyDescent="0.2">
      <c r="A235" s="26">
        <f t="shared" si="21"/>
        <v>164</v>
      </c>
      <c r="B235" s="22">
        <f t="shared" si="22"/>
        <v>945387.17899637239</v>
      </c>
      <c r="C235" s="28">
        <f t="shared" si="23"/>
        <v>-8681.9681224442356</v>
      </c>
      <c r="D235" s="28">
        <f t="shared" si="18"/>
        <v>3280.2687615829559</v>
      </c>
      <c r="E235" s="28">
        <f t="shared" si="19"/>
        <v>-5401.6993608612793</v>
      </c>
      <c r="F235" s="23">
        <f t="shared" si="20"/>
        <v>939985.47963551106</v>
      </c>
    </row>
    <row r="236" spans="1:6" x14ac:dyDescent="0.2">
      <c r="A236" s="26">
        <f t="shared" si="21"/>
        <v>165</v>
      </c>
      <c r="B236" s="22">
        <f t="shared" si="22"/>
        <v>939985.47963551106</v>
      </c>
      <c r="C236" s="28">
        <f t="shared" si="23"/>
        <v>-8681.9681224442356</v>
      </c>
      <c r="D236" s="28">
        <f t="shared" si="18"/>
        <v>3261.5261489618429</v>
      </c>
      <c r="E236" s="28">
        <f t="shared" si="19"/>
        <v>-5420.4419734823932</v>
      </c>
      <c r="F236" s="23">
        <f t="shared" si="20"/>
        <v>934565.03766202868</v>
      </c>
    </row>
    <row r="237" spans="1:6" x14ac:dyDescent="0.2">
      <c r="A237" s="26">
        <f t="shared" si="21"/>
        <v>166</v>
      </c>
      <c r="B237" s="22">
        <f t="shared" si="22"/>
        <v>934565.03766202868</v>
      </c>
      <c r="C237" s="28">
        <f t="shared" si="23"/>
        <v>-8681.9681224442356</v>
      </c>
      <c r="D237" s="28">
        <f t="shared" si="18"/>
        <v>3242.7185039306682</v>
      </c>
      <c r="E237" s="28">
        <f t="shared" si="19"/>
        <v>-5439.2496185135678</v>
      </c>
      <c r="F237" s="23">
        <f t="shared" si="20"/>
        <v>929125.78804351506</v>
      </c>
    </row>
    <row r="238" spans="1:6" x14ac:dyDescent="0.2">
      <c r="A238" s="26">
        <f t="shared" si="21"/>
        <v>167</v>
      </c>
      <c r="B238" s="22">
        <f t="shared" si="22"/>
        <v>929125.78804351506</v>
      </c>
      <c r="C238" s="28">
        <f t="shared" si="23"/>
        <v>-8681.9681224442356</v>
      </c>
      <c r="D238" s="28">
        <f t="shared" si="18"/>
        <v>3223.8456008424291</v>
      </c>
      <c r="E238" s="28">
        <f t="shared" si="19"/>
        <v>-5458.1225216018065</v>
      </c>
      <c r="F238" s="23">
        <f t="shared" si="20"/>
        <v>923667.66552191321</v>
      </c>
    </row>
    <row r="239" spans="1:6" x14ac:dyDescent="0.2">
      <c r="A239" s="26">
        <f t="shared" si="21"/>
        <v>168</v>
      </c>
      <c r="B239" s="22">
        <f t="shared" si="22"/>
        <v>923667.66552191321</v>
      </c>
      <c r="C239" s="28">
        <f t="shared" si="23"/>
        <v>-8681.9681224442356</v>
      </c>
      <c r="D239" s="28">
        <f t="shared" si="18"/>
        <v>3204.9072132671818</v>
      </c>
      <c r="E239" s="28">
        <f t="shared" si="19"/>
        <v>-5477.0609091770539</v>
      </c>
      <c r="F239" s="23">
        <f t="shared" si="20"/>
        <v>918190.60461273615</v>
      </c>
    </row>
    <row r="240" spans="1:6" x14ac:dyDescent="0.2">
      <c r="A240" s="26">
        <f t="shared" si="21"/>
        <v>169</v>
      </c>
      <c r="B240" s="22">
        <f t="shared" si="22"/>
        <v>918190.60461273615</v>
      </c>
      <c r="C240" s="28">
        <f t="shared" si="23"/>
        <v>-8681.9681224442356</v>
      </c>
      <c r="D240" s="28">
        <f t="shared" si="18"/>
        <v>3185.9031139893245</v>
      </c>
      <c r="E240" s="28">
        <f t="shared" si="19"/>
        <v>-5496.0650084549106</v>
      </c>
      <c r="F240" s="23">
        <f t="shared" si="20"/>
        <v>912694.53960428119</v>
      </c>
    </row>
    <row r="241" spans="1:6" x14ac:dyDescent="0.2">
      <c r="A241" s="26">
        <f t="shared" si="21"/>
        <v>170</v>
      </c>
      <c r="B241" s="22">
        <f t="shared" si="22"/>
        <v>912694.53960428119</v>
      </c>
      <c r="C241" s="28">
        <f t="shared" si="23"/>
        <v>-8681.9681224442356</v>
      </c>
      <c r="D241" s="28">
        <f t="shared" si="18"/>
        <v>3166.8330750048704</v>
      </c>
      <c r="E241" s="28">
        <f t="shared" si="19"/>
        <v>-5515.1350474393657</v>
      </c>
      <c r="F241" s="23">
        <f t="shared" si="20"/>
        <v>907179.40455684182</v>
      </c>
    </row>
    <row r="242" spans="1:6" x14ac:dyDescent="0.2">
      <c r="A242" s="26">
        <f t="shared" si="21"/>
        <v>171</v>
      </c>
      <c r="B242" s="22">
        <f t="shared" si="22"/>
        <v>907179.40455684182</v>
      </c>
      <c r="C242" s="28">
        <f t="shared" si="23"/>
        <v>-8681.9681224442356</v>
      </c>
      <c r="D242" s="28">
        <f t="shared" si="18"/>
        <v>3147.6968675187136</v>
      </c>
      <c r="E242" s="28">
        <f t="shared" si="19"/>
        <v>-5534.271254925522</v>
      </c>
      <c r="F242" s="23">
        <f t="shared" si="20"/>
        <v>901645.1333019163</v>
      </c>
    </row>
    <row r="243" spans="1:6" x14ac:dyDescent="0.2">
      <c r="A243" s="26">
        <f t="shared" si="21"/>
        <v>172</v>
      </c>
      <c r="B243" s="22">
        <f t="shared" si="22"/>
        <v>901645.1333019163</v>
      </c>
      <c r="C243" s="28">
        <f t="shared" si="23"/>
        <v>-8681.9681224442356</v>
      </c>
      <c r="D243" s="28">
        <f t="shared" si="18"/>
        <v>3128.4942619418844</v>
      </c>
      <c r="E243" s="28">
        <f t="shared" si="19"/>
        <v>-5553.4738605023513</v>
      </c>
      <c r="F243" s="23">
        <f t="shared" si="20"/>
        <v>896091.65944141394</v>
      </c>
    </row>
    <row r="244" spans="1:6" x14ac:dyDescent="0.2">
      <c r="A244" s="26">
        <f t="shared" si="21"/>
        <v>173</v>
      </c>
      <c r="B244" s="22">
        <f t="shared" si="22"/>
        <v>896091.65944141394</v>
      </c>
      <c r="C244" s="28">
        <f t="shared" si="23"/>
        <v>-8681.9681224442356</v>
      </c>
      <c r="D244" s="28">
        <f t="shared" si="18"/>
        <v>3109.2250278887923</v>
      </c>
      <c r="E244" s="28">
        <f t="shared" si="19"/>
        <v>-5572.7430945554433</v>
      </c>
      <c r="F244" s="23">
        <f t="shared" si="20"/>
        <v>890518.91634685849</v>
      </c>
    </row>
    <row r="245" spans="1:6" x14ac:dyDescent="0.2">
      <c r="A245" s="26">
        <f t="shared" si="21"/>
        <v>174</v>
      </c>
      <c r="B245" s="22">
        <f t="shared" si="22"/>
        <v>890518.91634685849</v>
      </c>
      <c r="C245" s="28">
        <f t="shared" si="23"/>
        <v>-8681.9681224442356</v>
      </c>
      <c r="D245" s="28">
        <f t="shared" si="18"/>
        <v>3089.8889341744652</v>
      </c>
      <c r="E245" s="28">
        <f t="shared" si="19"/>
        <v>-5592.0791882697704</v>
      </c>
      <c r="F245" s="23">
        <f t="shared" si="20"/>
        <v>884926.83715858869</v>
      </c>
    </row>
    <row r="246" spans="1:6" x14ac:dyDescent="0.2">
      <c r="A246" s="26">
        <f t="shared" si="21"/>
        <v>175</v>
      </c>
      <c r="B246" s="22">
        <f t="shared" si="22"/>
        <v>884926.83715858869</v>
      </c>
      <c r="C246" s="28">
        <f t="shared" si="23"/>
        <v>-8681.9681224442356</v>
      </c>
      <c r="D246" s="28">
        <f t="shared" si="18"/>
        <v>3070.4857488117727</v>
      </c>
      <c r="E246" s="28">
        <f t="shared" si="19"/>
        <v>-5611.4823736324634</v>
      </c>
      <c r="F246" s="23">
        <f t="shared" si="20"/>
        <v>879315.3547849562</v>
      </c>
    </row>
    <row r="247" spans="1:6" x14ac:dyDescent="0.2">
      <c r="A247" s="26">
        <f t="shared" si="21"/>
        <v>176</v>
      </c>
      <c r="B247" s="22">
        <f t="shared" si="22"/>
        <v>879315.3547849562</v>
      </c>
      <c r="C247" s="28">
        <f t="shared" si="23"/>
        <v>-8681.9681224442356</v>
      </c>
      <c r="D247" s="28">
        <f t="shared" si="18"/>
        <v>3051.015239008645</v>
      </c>
      <c r="E247" s="28">
        <f t="shared" si="19"/>
        <v>-5630.9528834355906</v>
      </c>
      <c r="F247" s="23">
        <f t="shared" si="20"/>
        <v>873684.40190152056</v>
      </c>
    </row>
    <row r="248" spans="1:6" x14ac:dyDescent="0.2">
      <c r="A248" s="26">
        <f t="shared" si="21"/>
        <v>177</v>
      </c>
      <c r="B248" s="22">
        <f t="shared" si="22"/>
        <v>873684.40190152056</v>
      </c>
      <c r="C248" s="28">
        <f t="shared" si="23"/>
        <v>-8681.9681224442356</v>
      </c>
      <c r="D248" s="28">
        <f t="shared" si="18"/>
        <v>3031.4771711652793</v>
      </c>
      <c r="E248" s="28">
        <f t="shared" si="19"/>
        <v>-5650.4909512789563</v>
      </c>
      <c r="F248" s="23">
        <f t="shared" si="20"/>
        <v>868033.91095024161</v>
      </c>
    </row>
    <row r="249" spans="1:6" x14ac:dyDescent="0.2">
      <c r="A249" s="26">
        <f t="shared" si="21"/>
        <v>178</v>
      </c>
      <c r="B249" s="22">
        <f t="shared" si="22"/>
        <v>868033.91095024161</v>
      </c>
      <c r="C249" s="28">
        <f t="shared" si="23"/>
        <v>-8681.9681224442356</v>
      </c>
      <c r="D249" s="28">
        <f t="shared" si="18"/>
        <v>3011.8713108713364</v>
      </c>
      <c r="E249" s="28">
        <f t="shared" si="19"/>
        <v>-5670.0968115728992</v>
      </c>
      <c r="F249" s="23">
        <f t="shared" si="20"/>
        <v>862363.81413866871</v>
      </c>
    </row>
    <row r="250" spans="1:6" x14ac:dyDescent="0.2">
      <c r="A250" s="26">
        <f t="shared" si="21"/>
        <v>179</v>
      </c>
      <c r="B250" s="22">
        <f t="shared" si="22"/>
        <v>862363.81413866871</v>
      </c>
      <c r="C250" s="28">
        <f t="shared" si="23"/>
        <v>-8681.9681224442356</v>
      </c>
      <c r="D250" s="28">
        <f t="shared" si="18"/>
        <v>2992.1974229031298</v>
      </c>
      <c r="E250" s="28">
        <f t="shared" si="19"/>
        <v>-5689.7706995411063</v>
      </c>
      <c r="F250" s="23">
        <f t="shared" si="20"/>
        <v>856674.04343912762</v>
      </c>
    </row>
    <row r="251" spans="1:6" x14ac:dyDescent="0.2">
      <c r="A251" s="26">
        <f t="shared" si="21"/>
        <v>180</v>
      </c>
      <c r="B251" s="22">
        <f t="shared" si="22"/>
        <v>856674.04343912762</v>
      </c>
      <c r="C251" s="28">
        <f t="shared" si="23"/>
        <v>-8681.9681224442356</v>
      </c>
      <c r="D251" s="28">
        <f t="shared" si="18"/>
        <v>2972.4552712208015</v>
      </c>
      <c r="E251" s="28">
        <f t="shared" si="19"/>
        <v>-5709.5128512234342</v>
      </c>
      <c r="F251" s="23">
        <f t="shared" si="20"/>
        <v>850964.53058790416</v>
      </c>
    </row>
    <row r="252" spans="1:6" x14ac:dyDescent="0.2">
      <c r="A252" s="26">
        <f t="shared" si="21"/>
        <v>181</v>
      </c>
      <c r="B252" s="22">
        <f t="shared" si="22"/>
        <v>850964.53058790416</v>
      </c>
      <c r="C252" s="28">
        <f t="shared" si="23"/>
        <v>-8681.9681224442356</v>
      </c>
      <c r="D252" s="28">
        <f t="shared" si="18"/>
        <v>2952.6446189654926</v>
      </c>
      <c r="E252" s="28">
        <f t="shared" si="19"/>
        <v>-5729.3235034787431</v>
      </c>
      <c r="F252" s="23">
        <f t="shared" si="20"/>
        <v>845235.20708442538</v>
      </c>
    </row>
    <row r="253" spans="1:6" x14ac:dyDescent="0.2">
      <c r="A253" s="26">
        <f t="shared" si="21"/>
        <v>182</v>
      </c>
      <c r="B253" s="22">
        <f t="shared" si="22"/>
        <v>845235.20708442538</v>
      </c>
      <c r="C253" s="28">
        <f t="shared" si="23"/>
        <v>-8681.9681224442356</v>
      </c>
      <c r="D253" s="28">
        <f t="shared" si="18"/>
        <v>2932.7652284564992</v>
      </c>
      <c r="E253" s="28">
        <f t="shared" si="19"/>
        <v>-5749.2028939877364</v>
      </c>
      <c r="F253" s="23">
        <f t="shared" si="20"/>
        <v>839486.00419043761</v>
      </c>
    </row>
    <row r="254" spans="1:6" x14ac:dyDescent="0.2">
      <c r="A254" s="26">
        <f t="shared" si="21"/>
        <v>183</v>
      </c>
      <c r="B254" s="22">
        <f t="shared" si="22"/>
        <v>839486.00419043761</v>
      </c>
      <c r="C254" s="28">
        <f t="shared" si="23"/>
        <v>-8681.9681224442356</v>
      </c>
      <c r="D254" s="28">
        <f t="shared" si="18"/>
        <v>2912.8168611884225</v>
      </c>
      <c r="E254" s="28">
        <f t="shared" si="19"/>
        <v>-5769.1512612558126</v>
      </c>
      <c r="F254" s="23">
        <f t="shared" si="20"/>
        <v>833716.85292918177</v>
      </c>
    </row>
    <row r="255" spans="1:6" x14ac:dyDescent="0.2">
      <c r="A255" s="26">
        <f t="shared" si="21"/>
        <v>184</v>
      </c>
      <c r="B255" s="22">
        <f t="shared" si="22"/>
        <v>833716.85292918177</v>
      </c>
      <c r="C255" s="28">
        <f t="shared" si="23"/>
        <v>-8681.9681224442356</v>
      </c>
      <c r="D255" s="28">
        <f t="shared" si="18"/>
        <v>2892.7992778283069</v>
      </c>
      <c r="E255" s="28">
        <f t="shared" si="19"/>
        <v>-5789.1688446159287</v>
      </c>
      <c r="F255" s="23">
        <f t="shared" si="20"/>
        <v>827927.68408456584</v>
      </c>
    </row>
    <row r="256" spans="1:6" x14ac:dyDescent="0.2">
      <c r="A256" s="26">
        <f t="shared" si="21"/>
        <v>185</v>
      </c>
      <c r="B256" s="22">
        <f t="shared" si="22"/>
        <v>827927.68408456584</v>
      </c>
      <c r="C256" s="28">
        <f t="shared" si="23"/>
        <v>-8681.9681224442356</v>
      </c>
      <c r="D256" s="28">
        <f t="shared" si="18"/>
        <v>2872.7122382127677</v>
      </c>
      <c r="E256" s="28">
        <f t="shared" si="19"/>
        <v>-5809.2558842314684</v>
      </c>
      <c r="F256" s="23">
        <f t="shared" si="20"/>
        <v>822118.42820033443</v>
      </c>
    </row>
    <row r="257" spans="1:6" x14ac:dyDescent="0.2">
      <c r="A257" s="26">
        <f t="shared" si="21"/>
        <v>186</v>
      </c>
      <c r="B257" s="22">
        <f t="shared" si="22"/>
        <v>822118.42820033443</v>
      </c>
      <c r="C257" s="28">
        <f t="shared" si="23"/>
        <v>-8681.9681224442356</v>
      </c>
      <c r="D257" s="28">
        <f t="shared" si="18"/>
        <v>2852.5555013451112</v>
      </c>
      <c r="E257" s="28">
        <f t="shared" si="19"/>
        <v>-5829.4126210991244</v>
      </c>
      <c r="F257" s="23">
        <f t="shared" si="20"/>
        <v>816289.01557923527</v>
      </c>
    </row>
    <row r="258" spans="1:6" x14ac:dyDescent="0.2">
      <c r="A258" s="26">
        <f t="shared" si="21"/>
        <v>187</v>
      </c>
      <c r="B258" s="22">
        <f t="shared" si="22"/>
        <v>816289.01557923527</v>
      </c>
      <c r="C258" s="28">
        <f t="shared" si="23"/>
        <v>-8681.9681224442356</v>
      </c>
      <c r="D258" s="28">
        <f t="shared" si="18"/>
        <v>2832.3288253924406</v>
      </c>
      <c r="E258" s="28">
        <f t="shared" si="19"/>
        <v>-5849.6392970517954</v>
      </c>
      <c r="F258" s="23">
        <f t="shared" si="20"/>
        <v>810439.37628218345</v>
      </c>
    </row>
    <row r="259" spans="1:6" x14ac:dyDescent="0.2">
      <c r="A259" s="26">
        <f t="shared" si="21"/>
        <v>188</v>
      </c>
      <c r="B259" s="22">
        <f t="shared" si="22"/>
        <v>810439.37628218345</v>
      </c>
      <c r="C259" s="28">
        <f t="shared" si="23"/>
        <v>-8681.9681224442356</v>
      </c>
      <c r="D259" s="28">
        <f t="shared" si="18"/>
        <v>2812.0319676827585</v>
      </c>
      <c r="E259" s="28">
        <f t="shared" si="19"/>
        <v>-5869.9361547614772</v>
      </c>
      <c r="F259" s="23">
        <f t="shared" si="20"/>
        <v>804569.44012742199</v>
      </c>
    </row>
    <row r="260" spans="1:6" x14ac:dyDescent="0.2">
      <c r="A260" s="26">
        <f t="shared" si="21"/>
        <v>189</v>
      </c>
      <c r="B260" s="22">
        <f t="shared" si="22"/>
        <v>804569.44012742199</v>
      </c>
      <c r="C260" s="28">
        <f t="shared" si="23"/>
        <v>-8681.9681224442356</v>
      </c>
      <c r="D260" s="28">
        <f t="shared" si="18"/>
        <v>2791.6646847020525</v>
      </c>
      <c r="E260" s="28">
        <f t="shared" si="19"/>
        <v>-5890.3034377421827</v>
      </c>
      <c r="F260" s="23">
        <f t="shared" si="20"/>
        <v>798679.13668967981</v>
      </c>
    </row>
    <row r="261" spans="1:6" x14ac:dyDescent="0.2">
      <c r="A261" s="26">
        <f t="shared" si="21"/>
        <v>190</v>
      </c>
      <c r="B261" s="22">
        <f t="shared" si="22"/>
        <v>798679.13668967981</v>
      </c>
      <c r="C261" s="28">
        <f t="shared" si="23"/>
        <v>-8681.9681224442356</v>
      </c>
      <c r="D261" s="28">
        <f t="shared" si="18"/>
        <v>2771.2267320913743</v>
      </c>
      <c r="E261" s="28">
        <f t="shared" si="19"/>
        <v>-5910.7413903528613</v>
      </c>
      <c r="F261" s="23">
        <f t="shared" si="20"/>
        <v>792768.39529932698</v>
      </c>
    </row>
    <row r="262" spans="1:6" x14ac:dyDescent="0.2">
      <c r="A262" s="26">
        <f t="shared" si="21"/>
        <v>191</v>
      </c>
      <c r="B262" s="22">
        <f t="shared" si="22"/>
        <v>792768.39529932698</v>
      </c>
      <c r="C262" s="28">
        <f t="shared" si="23"/>
        <v>-8681.9681224442356</v>
      </c>
      <c r="D262" s="28">
        <f t="shared" si="18"/>
        <v>2750.7178646439093</v>
      </c>
      <c r="E262" s="28">
        <f t="shared" si="19"/>
        <v>-5931.2502578003259</v>
      </c>
      <c r="F262" s="23">
        <f t="shared" si="20"/>
        <v>786837.14504152664</v>
      </c>
    </row>
    <row r="263" spans="1:6" x14ac:dyDescent="0.2">
      <c r="A263" s="26">
        <f t="shared" si="21"/>
        <v>192</v>
      </c>
      <c r="B263" s="22">
        <f t="shared" si="22"/>
        <v>786837.14504152664</v>
      </c>
      <c r="C263" s="28">
        <f t="shared" si="23"/>
        <v>-8681.9681224442356</v>
      </c>
      <c r="D263" s="28">
        <f t="shared" si="18"/>
        <v>2730.1378363020312</v>
      </c>
      <c r="E263" s="28">
        <f t="shared" si="19"/>
        <v>-5951.8302861422044</v>
      </c>
      <c r="F263" s="23">
        <f t="shared" si="20"/>
        <v>780885.31475538446</v>
      </c>
    </row>
    <row r="264" spans="1:6" x14ac:dyDescent="0.2">
      <c r="A264" s="26">
        <f t="shared" si="21"/>
        <v>193</v>
      </c>
      <c r="B264" s="22">
        <f t="shared" si="22"/>
        <v>780885.31475538446</v>
      </c>
      <c r="C264" s="28">
        <f t="shared" si="23"/>
        <v>-8681.9681224442356</v>
      </c>
      <c r="D264" s="28">
        <f t="shared" ref="D264:D327" si="24">+B264*$B$14</f>
        <v>2709.4864001543547</v>
      </c>
      <c r="E264" s="28">
        <f t="shared" ref="E264:E327" si="25">+C264+D264</f>
        <v>-5972.481722289881</v>
      </c>
      <c r="F264" s="23">
        <f t="shared" ref="F264:F327" si="26">+B264+E264</f>
        <v>774912.83303309453</v>
      </c>
    </row>
    <row r="265" spans="1:6" x14ac:dyDescent="0.2">
      <c r="A265" s="26">
        <f t="shared" ref="A265:A328" si="27">1+A264</f>
        <v>194</v>
      </c>
      <c r="B265" s="22">
        <f t="shared" ref="B265:B328" si="28">F264</f>
        <v>774912.83303309453</v>
      </c>
      <c r="C265" s="28">
        <f t="shared" ref="C265:C328" si="29">C264</f>
        <v>-8681.9681224442356</v>
      </c>
      <c r="D265" s="28">
        <f t="shared" si="24"/>
        <v>2688.7633084327695</v>
      </c>
      <c r="E265" s="28">
        <f t="shared" si="25"/>
        <v>-5993.2048140114657</v>
      </c>
      <c r="F265" s="23">
        <f t="shared" si="26"/>
        <v>768919.62821908307</v>
      </c>
    </row>
    <row r="266" spans="1:6" x14ac:dyDescent="0.2">
      <c r="A266" s="26">
        <f t="shared" si="27"/>
        <v>195</v>
      </c>
      <c r="B266" s="22">
        <f t="shared" si="28"/>
        <v>768919.62821908307</v>
      </c>
      <c r="C266" s="28">
        <f t="shared" si="29"/>
        <v>-8681.9681224442356</v>
      </c>
      <c r="D266" s="28">
        <f t="shared" si="24"/>
        <v>2667.9683125094684</v>
      </c>
      <c r="E266" s="28">
        <f t="shared" si="25"/>
        <v>-6013.9998099347667</v>
      </c>
      <c r="F266" s="23">
        <f t="shared" si="26"/>
        <v>762905.62840914831</v>
      </c>
    </row>
    <row r="267" spans="1:6" x14ac:dyDescent="0.2">
      <c r="A267" s="26">
        <f t="shared" si="27"/>
        <v>196</v>
      </c>
      <c r="B267" s="22">
        <f t="shared" si="28"/>
        <v>762905.62840914831</v>
      </c>
      <c r="C267" s="28">
        <f t="shared" si="29"/>
        <v>-8681.9681224442356</v>
      </c>
      <c r="D267" s="28">
        <f t="shared" si="24"/>
        <v>2647.1011628939664</v>
      </c>
      <c r="E267" s="28">
        <f t="shared" si="25"/>
        <v>-6034.8669595502688</v>
      </c>
      <c r="F267" s="23">
        <f t="shared" si="26"/>
        <v>756870.76144959801</v>
      </c>
    </row>
    <row r="268" spans="1:6" x14ac:dyDescent="0.2">
      <c r="A268" s="26">
        <f t="shared" si="27"/>
        <v>197</v>
      </c>
      <c r="B268" s="22">
        <f t="shared" si="28"/>
        <v>756870.76144959801</v>
      </c>
      <c r="C268" s="28">
        <f t="shared" si="29"/>
        <v>-8681.9681224442356</v>
      </c>
      <c r="D268" s="28">
        <f t="shared" si="24"/>
        <v>2626.1616092301042</v>
      </c>
      <c r="E268" s="28">
        <f t="shared" si="25"/>
        <v>-6055.806513214131</v>
      </c>
      <c r="F268" s="23">
        <f t="shared" si="26"/>
        <v>750814.95493638387</v>
      </c>
    </row>
    <row r="269" spans="1:6" x14ac:dyDescent="0.2">
      <c r="A269" s="26">
        <f t="shared" si="27"/>
        <v>198</v>
      </c>
      <c r="B269" s="22">
        <f t="shared" si="28"/>
        <v>750814.95493638387</v>
      </c>
      <c r="C269" s="28">
        <f t="shared" si="29"/>
        <v>-8681.9681224442356</v>
      </c>
      <c r="D269" s="28">
        <f t="shared" si="24"/>
        <v>2605.1494002930467</v>
      </c>
      <c r="E269" s="28">
        <f t="shared" si="25"/>
        <v>-6076.8187221511889</v>
      </c>
      <c r="F269" s="23">
        <f t="shared" si="26"/>
        <v>744738.13621423265</v>
      </c>
    </row>
    <row r="270" spans="1:6" x14ac:dyDescent="0.2">
      <c r="A270" s="26">
        <f t="shared" si="27"/>
        <v>199</v>
      </c>
      <c r="B270" s="22">
        <f t="shared" si="28"/>
        <v>744738.13621423265</v>
      </c>
      <c r="C270" s="28">
        <f t="shared" si="29"/>
        <v>-8681.9681224442356</v>
      </c>
      <c r="D270" s="28">
        <f t="shared" si="24"/>
        <v>2584.0642839862689</v>
      </c>
      <c r="E270" s="28">
        <f t="shared" si="25"/>
        <v>-6097.9038384579671</v>
      </c>
      <c r="F270" s="23">
        <f t="shared" si="26"/>
        <v>738640.23237577465</v>
      </c>
    </row>
    <row r="271" spans="1:6" x14ac:dyDescent="0.2">
      <c r="A271" s="26">
        <f t="shared" si="27"/>
        <v>200</v>
      </c>
      <c r="B271" s="22">
        <f t="shared" si="28"/>
        <v>738640.23237577465</v>
      </c>
      <c r="C271" s="28">
        <f t="shared" si="29"/>
        <v>-8681.9681224442356</v>
      </c>
      <c r="D271" s="28">
        <f t="shared" si="24"/>
        <v>2562.9060073385303</v>
      </c>
      <c r="E271" s="28">
        <f t="shared" si="25"/>
        <v>-6119.0621151057057</v>
      </c>
      <c r="F271" s="23">
        <f t="shared" si="26"/>
        <v>732521.17026066897</v>
      </c>
    </row>
    <row r="272" spans="1:6" x14ac:dyDescent="0.2">
      <c r="A272" s="26">
        <f t="shared" si="27"/>
        <v>201</v>
      </c>
      <c r="B272" s="22">
        <f t="shared" si="28"/>
        <v>732521.17026066897</v>
      </c>
      <c r="C272" s="28">
        <f t="shared" si="29"/>
        <v>-8681.9681224442356</v>
      </c>
      <c r="D272" s="28">
        <f t="shared" si="24"/>
        <v>2541.6743165008402</v>
      </c>
      <c r="E272" s="28">
        <f t="shared" si="25"/>
        <v>-6140.2938059433955</v>
      </c>
      <c r="F272" s="23">
        <f t="shared" si="26"/>
        <v>726380.87645472551</v>
      </c>
    </row>
    <row r="273" spans="1:6" x14ac:dyDescent="0.2">
      <c r="A273" s="26">
        <f t="shared" si="27"/>
        <v>202</v>
      </c>
      <c r="B273" s="22">
        <f t="shared" si="28"/>
        <v>726380.87645472551</v>
      </c>
      <c r="C273" s="28">
        <f t="shared" si="29"/>
        <v>-8681.9681224442356</v>
      </c>
      <c r="D273" s="28">
        <f t="shared" si="24"/>
        <v>2520.3689567434121</v>
      </c>
      <c r="E273" s="28">
        <f t="shared" si="25"/>
        <v>-6161.5991657008235</v>
      </c>
      <c r="F273" s="23">
        <f t="shared" si="26"/>
        <v>720219.27728902467</v>
      </c>
    </row>
    <row r="274" spans="1:6" x14ac:dyDescent="0.2">
      <c r="A274" s="26">
        <f t="shared" si="27"/>
        <v>203</v>
      </c>
      <c r="B274" s="22">
        <f t="shared" si="28"/>
        <v>720219.27728902467</v>
      </c>
      <c r="C274" s="28">
        <f t="shared" si="29"/>
        <v>-8681.9681224442356</v>
      </c>
      <c r="D274" s="28">
        <f t="shared" si="24"/>
        <v>2498.9896724526088</v>
      </c>
      <c r="E274" s="28">
        <f t="shared" si="25"/>
        <v>-6182.9784499916268</v>
      </c>
      <c r="F274" s="23">
        <f t="shared" si="26"/>
        <v>714036.298839033</v>
      </c>
    </row>
    <row r="275" spans="1:6" x14ac:dyDescent="0.2">
      <c r="A275" s="26">
        <f t="shared" si="27"/>
        <v>204</v>
      </c>
      <c r="B275" s="22">
        <f t="shared" si="28"/>
        <v>714036.298839033</v>
      </c>
      <c r="C275" s="28">
        <f t="shared" si="29"/>
        <v>-8681.9681224442356</v>
      </c>
      <c r="D275" s="28">
        <f t="shared" si="24"/>
        <v>2477.5362071278732</v>
      </c>
      <c r="E275" s="28">
        <f t="shared" si="25"/>
        <v>-6204.4319153163624</v>
      </c>
      <c r="F275" s="23">
        <f t="shared" si="26"/>
        <v>707831.86692371662</v>
      </c>
    </row>
    <row r="276" spans="1:6" x14ac:dyDescent="0.2">
      <c r="A276" s="26">
        <f t="shared" si="27"/>
        <v>205</v>
      </c>
      <c r="B276" s="22">
        <f t="shared" si="28"/>
        <v>707831.86692371662</v>
      </c>
      <c r="C276" s="28">
        <f t="shared" si="29"/>
        <v>-8681.9681224442356</v>
      </c>
      <c r="D276" s="28">
        <f t="shared" si="24"/>
        <v>2456.0083033786532</v>
      </c>
      <c r="E276" s="28">
        <f t="shared" si="25"/>
        <v>-6225.9598190655825</v>
      </c>
      <c r="F276" s="23">
        <f t="shared" si="26"/>
        <v>701605.90710465098</v>
      </c>
    </row>
    <row r="277" spans="1:6" x14ac:dyDescent="0.2">
      <c r="A277" s="26">
        <f t="shared" si="27"/>
        <v>206</v>
      </c>
      <c r="B277" s="22">
        <f t="shared" si="28"/>
        <v>701605.90710465098</v>
      </c>
      <c r="C277" s="28">
        <f t="shared" si="29"/>
        <v>-8681.9681224442356</v>
      </c>
      <c r="D277" s="28">
        <f t="shared" si="24"/>
        <v>2434.4057029213118</v>
      </c>
      <c r="E277" s="28">
        <f t="shared" si="25"/>
        <v>-6247.5624195229238</v>
      </c>
      <c r="F277" s="23">
        <f t="shared" si="26"/>
        <v>695358.34468512808</v>
      </c>
    </row>
    <row r="278" spans="1:6" x14ac:dyDescent="0.2">
      <c r="A278" s="26">
        <f t="shared" si="27"/>
        <v>207</v>
      </c>
      <c r="B278" s="22">
        <f t="shared" si="28"/>
        <v>695358.34468512808</v>
      </c>
      <c r="C278" s="28">
        <f t="shared" si="29"/>
        <v>-8681.9681224442356</v>
      </c>
      <c r="D278" s="28">
        <f t="shared" si="24"/>
        <v>2412.7281465760302</v>
      </c>
      <c r="E278" s="28">
        <f t="shared" si="25"/>
        <v>-6269.2399758682059</v>
      </c>
      <c r="F278" s="23">
        <f t="shared" si="26"/>
        <v>689089.10470925982</v>
      </c>
    </row>
    <row r="279" spans="1:6" x14ac:dyDescent="0.2">
      <c r="A279" s="26">
        <f t="shared" si="27"/>
        <v>208</v>
      </c>
      <c r="B279" s="22">
        <f t="shared" si="28"/>
        <v>689089.10470925982</v>
      </c>
      <c r="C279" s="28">
        <f t="shared" si="29"/>
        <v>-8681.9681224442356</v>
      </c>
      <c r="D279" s="28">
        <f t="shared" si="24"/>
        <v>2390.9753742636963</v>
      </c>
      <c r="E279" s="28">
        <f t="shared" si="25"/>
        <v>-6290.9927481805389</v>
      </c>
      <c r="F279" s="23">
        <f t="shared" si="26"/>
        <v>682798.1119610793</v>
      </c>
    </row>
    <row r="280" spans="1:6" x14ac:dyDescent="0.2">
      <c r="A280" s="26">
        <f t="shared" si="27"/>
        <v>209</v>
      </c>
      <c r="B280" s="22">
        <f t="shared" si="28"/>
        <v>682798.1119610793</v>
      </c>
      <c r="C280" s="28">
        <f t="shared" si="29"/>
        <v>-8681.9681224442356</v>
      </c>
      <c r="D280" s="28">
        <f t="shared" si="24"/>
        <v>2369.1471250027862</v>
      </c>
      <c r="E280" s="28">
        <f t="shared" si="25"/>
        <v>-6312.8209974414494</v>
      </c>
      <c r="F280" s="23">
        <f t="shared" si="26"/>
        <v>676485.29096363788</v>
      </c>
    </row>
    <row r="281" spans="1:6" x14ac:dyDescent="0.2">
      <c r="A281" s="26">
        <f t="shared" si="27"/>
        <v>210</v>
      </c>
      <c r="B281" s="22">
        <f t="shared" si="28"/>
        <v>676485.29096363788</v>
      </c>
      <c r="C281" s="28">
        <f t="shared" si="29"/>
        <v>-8681.9681224442356</v>
      </c>
      <c r="D281" s="28">
        <f t="shared" si="24"/>
        <v>2347.2431369062315</v>
      </c>
      <c r="E281" s="28">
        <f t="shared" si="25"/>
        <v>-6334.7249855380041</v>
      </c>
      <c r="F281" s="23">
        <f t="shared" si="26"/>
        <v>670150.56597809982</v>
      </c>
    </row>
    <row r="282" spans="1:6" x14ac:dyDescent="0.2">
      <c r="A282" s="26">
        <f t="shared" si="27"/>
        <v>211</v>
      </c>
      <c r="B282" s="22">
        <f t="shared" si="28"/>
        <v>670150.56597809982</v>
      </c>
      <c r="C282" s="28">
        <f t="shared" si="29"/>
        <v>-8681.9681224442356</v>
      </c>
      <c r="D282" s="28">
        <f t="shared" si="24"/>
        <v>2325.2631471782774</v>
      </c>
      <c r="E282" s="28">
        <f t="shared" si="25"/>
        <v>-6356.7049752659586</v>
      </c>
      <c r="F282" s="23">
        <f t="shared" si="26"/>
        <v>663793.86100283382</v>
      </c>
    </row>
    <row r="283" spans="1:6" x14ac:dyDescent="0.2">
      <c r="A283" s="26">
        <f t="shared" si="27"/>
        <v>212</v>
      </c>
      <c r="B283" s="22">
        <f t="shared" si="28"/>
        <v>663793.86100283382</v>
      </c>
      <c r="C283" s="28">
        <f t="shared" si="29"/>
        <v>-8681.9681224442356</v>
      </c>
      <c r="D283" s="28">
        <f t="shared" si="24"/>
        <v>2303.2068921113323</v>
      </c>
      <c r="E283" s="28">
        <f t="shared" si="25"/>
        <v>-6378.7612303329033</v>
      </c>
      <c r="F283" s="23">
        <f t="shared" si="26"/>
        <v>657415.09977250092</v>
      </c>
    </row>
    <row r="284" spans="1:6" x14ac:dyDescent="0.2">
      <c r="A284" s="26">
        <f t="shared" si="27"/>
        <v>213</v>
      </c>
      <c r="B284" s="22">
        <f t="shared" si="28"/>
        <v>657415.09977250092</v>
      </c>
      <c r="C284" s="28">
        <f t="shared" si="29"/>
        <v>-8681.9681224442356</v>
      </c>
      <c r="D284" s="28">
        <f t="shared" si="24"/>
        <v>2281.0741070827994</v>
      </c>
      <c r="E284" s="28">
        <f t="shared" si="25"/>
        <v>-6400.8940153614367</v>
      </c>
      <c r="F284" s="23">
        <f t="shared" si="26"/>
        <v>651014.20575713948</v>
      </c>
    </row>
    <row r="285" spans="1:6" x14ac:dyDescent="0.2">
      <c r="A285" s="26">
        <f t="shared" si="27"/>
        <v>214</v>
      </c>
      <c r="B285" s="22">
        <f t="shared" si="28"/>
        <v>651014.20575713948</v>
      </c>
      <c r="C285" s="28">
        <f t="shared" si="29"/>
        <v>-8681.9681224442356</v>
      </c>
      <c r="D285" s="28">
        <f t="shared" si="24"/>
        <v>2258.8645265519067</v>
      </c>
      <c r="E285" s="28">
        <f t="shared" si="25"/>
        <v>-6423.1035958923294</v>
      </c>
      <c r="F285" s="23">
        <f t="shared" si="26"/>
        <v>644591.10216124717</v>
      </c>
    </row>
    <row r="286" spans="1:6" x14ac:dyDescent="0.2">
      <c r="A286" s="26">
        <f t="shared" si="27"/>
        <v>215</v>
      </c>
      <c r="B286" s="22">
        <f t="shared" si="28"/>
        <v>644591.10216124717</v>
      </c>
      <c r="C286" s="28">
        <f t="shared" si="29"/>
        <v>-8681.9681224442356</v>
      </c>
      <c r="D286" s="28">
        <f t="shared" si="24"/>
        <v>2236.5778840565176</v>
      </c>
      <c r="E286" s="28">
        <f t="shared" si="25"/>
        <v>-6445.3902383877175</v>
      </c>
      <c r="F286" s="23">
        <f t="shared" si="26"/>
        <v>638145.71192285942</v>
      </c>
    </row>
    <row r="287" spans="1:6" x14ac:dyDescent="0.2">
      <c r="A287" s="26">
        <f t="shared" si="27"/>
        <v>216</v>
      </c>
      <c r="B287" s="22">
        <f t="shared" si="28"/>
        <v>638145.71192285942</v>
      </c>
      <c r="C287" s="28">
        <f t="shared" si="29"/>
        <v>-8681.9681224442356</v>
      </c>
      <c r="D287" s="28">
        <f t="shared" si="24"/>
        <v>2214.2139122099352</v>
      </c>
      <c r="E287" s="28">
        <f t="shared" si="25"/>
        <v>-6467.7542102343004</v>
      </c>
      <c r="F287" s="23">
        <f t="shared" si="26"/>
        <v>631677.95771262515</v>
      </c>
    </row>
    <row r="288" spans="1:6" x14ac:dyDescent="0.2">
      <c r="A288" s="26">
        <f t="shared" si="27"/>
        <v>217</v>
      </c>
      <c r="B288" s="22">
        <f t="shared" si="28"/>
        <v>631677.95771262515</v>
      </c>
      <c r="C288" s="28">
        <f t="shared" si="29"/>
        <v>-8681.9681224442356</v>
      </c>
      <c r="D288" s="28">
        <f t="shared" si="24"/>
        <v>2191.7723426976945</v>
      </c>
      <c r="E288" s="28">
        <f t="shared" si="25"/>
        <v>-6490.1957797465411</v>
      </c>
      <c r="F288" s="23">
        <f t="shared" si="26"/>
        <v>625187.76193287864</v>
      </c>
    </row>
    <row r="289" spans="1:6" x14ac:dyDescent="0.2">
      <c r="A289" s="26">
        <f t="shared" si="27"/>
        <v>218</v>
      </c>
      <c r="B289" s="22">
        <f t="shared" si="28"/>
        <v>625187.76193287864</v>
      </c>
      <c r="C289" s="28">
        <f t="shared" si="29"/>
        <v>-8681.9681224442356</v>
      </c>
      <c r="D289" s="28">
        <f t="shared" si="24"/>
        <v>2169.2529062743433</v>
      </c>
      <c r="E289" s="28">
        <f t="shared" si="25"/>
        <v>-6512.7152161698923</v>
      </c>
      <c r="F289" s="23">
        <f t="shared" si="26"/>
        <v>618675.04671670869</v>
      </c>
    </row>
    <row r="290" spans="1:6" x14ac:dyDescent="0.2">
      <c r="A290" s="26">
        <f t="shared" si="27"/>
        <v>219</v>
      </c>
      <c r="B290" s="22">
        <f t="shared" si="28"/>
        <v>618675.04671670869</v>
      </c>
      <c r="C290" s="28">
        <f t="shared" si="29"/>
        <v>-8681.9681224442356</v>
      </c>
      <c r="D290" s="28">
        <f t="shared" si="24"/>
        <v>2146.6553327602114</v>
      </c>
      <c r="E290" s="28">
        <f t="shared" si="25"/>
        <v>-6535.3127896840242</v>
      </c>
      <c r="F290" s="23">
        <f t="shared" si="26"/>
        <v>612139.73392702464</v>
      </c>
    </row>
    <row r="291" spans="1:6" x14ac:dyDescent="0.2">
      <c r="A291" s="26">
        <f t="shared" si="27"/>
        <v>220</v>
      </c>
      <c r="B291" s="22">
        <f t="shared" si="28"/>
        <v>612139.73392702464</v>
      </c>
      <c r="C291" s="28">
        <f t="shared" si="29"/>
        <v>-8681.9681224442356</v>
      </c>
      <c r="D291" s="28">
        <f t="shared" si="24"/>
        <v>2123.9793510381701</v>
      </c>
      <c r="E291" s="28">
        <f t="shared" si="25"/>
        <v>-6557.988771406066</v>
      </c>
      <c r="F291" s="23">
        <f t="shared" si="26"/>
        <v>605581.74515561853</v>
      </c>
    </row>
    <row r="292" spans="1:6" x14ac:dyDescent="0.2">
      <c r="A292" s="26">
        <f t="shared" si="27"/>
        <v>221</v>
      </c>
      <c r="B292" s="22">
        <f t="shared" si="28"/>
        <v>605581.74515561853</v>
      </c>
      <c r="C292" s="28">
        <f t="shared" si="29"/>
        <v>-8681.9681224442356</v>
      </c>
      <c r="D292" s="28">
        <f t="shared" si="24"/>
        <v>2101.2246890503775</v>
      </c>
      <c r="E292" s="28">
        <f t="shared" si="25"/>
        <v>-6580.7434333938581</v>
      </c>
      <c r="F292" s="23">
        <f t="shared" si="26"/>
        <v>599001.00172222464</v>
      </c>
    </row>
    <row r="293" spans="1:6" x14ac:dyDescent="0.2">
      <c r="A293" s="26">
        <f t="shared" si="27"/>
        <v>222</v>
      </c>
      <c r="B293" s="22">
        <f t="shared" si="28"/>
        <v>599001.00172222464</v>
      </c>
      <c r="C293" s="28">
        <f t="shared" si="29"/>
        <v>-8681.9681224442356</v>
      </c>
      <c r="D293" s="28">
        <f t="shared" si="24"/>
        <v>2078.3910737950164</v>
      </c>
      <c r="E293" s="28">
        <f t="shared" si="25"/>
        <v>-6603.5770486492193</v>
      </c>
      <c r="F293" s="23">
        <f t="shared" si="26"/>
        <v>592397.42467357544</v>
      </c>
    </row>
    <row r="294" spans="1:6" x14ac:dyDescent="0.2">
      <c r="A294" s="26">
        <f t="shared" si="27"/>
        <v>223</v>
      </c>
      <c r="B294" s="22">
        <f t="shared" si="28"/>
        <v>592397.42467357544</v>
      </c>
      <c r="C294" s="28">
        <f t="shared" si="29"/>
        <v>-8681.9681224442356</v>
      </c>
      <c r="D294" s="28">
        <f t="shared" si="24"/>
        <v>2055.4782313230189</v>
      </c>
      <c r="E294" s="28">
        <f t="shared" si="25"/>
        <v>-6626.4898911212167</v>
      </c>
      <c r="F294" s="23">
        <f t="shared" si="26"/>
        <v>585770.93478245428</v>
      </c>
    </row>
    <row r="295" spans="1:6" x14ac:dyDescent="0.2">
      <c r="A295" s="26">
        <f t="shared" si="27"/>
        <v>224</v>
      </c>
      <c r="B295" s="22">
        <f t="shared" si="28"/>
        <v>585770.93478245428</v>
      </c>
      <c r="C295" s="28">
        <f t="shared" si="29"/>
        <v>-8681.9681224442356</v>
      </c>
      <c r="D295" s="28">
        <f t="shared" si="24"/>
        <v>2032.4858867347775</v>
      </c>
      <c r="E295" s="28">
        <f t="shared" si="25"/>
        <v>-6649.4822357094581</v>
      </c>
      <c r="F295" s="23">
        <f t="shared" si="26"/>
        <v>579121.45254674484</v>
      </c>
    </row>
    <row r="296" spans="1:6" x14ac:dyDescent="0.2">
      <c r="A296" s="26">
        <f t="shared" si="27"/>
        <v>225</v>
      </c>
      <c r="B296" s="22">
        <f t="shared" si="28"/>
        <v>579121.45254674484</v>
      </c>
      <c r="C296" s="28">
        <f t="shared" si="29"/>
        <v>-8681.9681224442356</v>
      </c>
      <c r="D296" s="28">
        <f t="shared" si="24"/>
        <v>2009.4137641768491</v>
      </c>
      <c r="E296" s="28">
        <f t="shared" si="25"/>
        <v>-6672.5543582673863</v>
      </c>
      <c r="F296" s="23">
        <f t="shared" si="26"/>
        <v>572448.8981884775</v>
      </c>
    </row>
    <row r="297" spans="1:6" x14ac:dyDescent="0.2">
      <c r="A297" s="26">
        <f t="shared" si="27"/>
        <v>226</v>
      </c>
      <c r="B297" s="22">
        <f t="shared" si="28"/>
        <v>572448.8981884775</v>
      </c>
      <c r="C297" s="28">
        <f t="shared" si="29"/>
        <v>-8681.9681224442356</v>
      </c>
      <c r="D297" s="28">
        <f t="shared" si="24"/>
        <v>1986.2615868386449</v>
      </c>
      <c r="E297" s="28">
        <f t="shared" si="25"/>
        <v>-6695.7065356055909</v>
      </c>
      <c r="F297" s="23">
        <f t="shared" si="26"/>
        <v>565753.1916528719</v>
      </c>
    </row>
    <row r="298" spans="1:6" x14ac:dyDescent="0.2">
      <c r="A298" s="26">
        <f t="shared" si="27"/>
        <v>227</v>
      </c>
      <c r="B298" s="22">
        <f t="shared" si="28"/>
        <v>565753.1916528719</v>
      </c>
      <c r="C298" s="28">
        <f t="shared" si="29"/>
        <v>-8681.9681224442356</v>
      </c>
      <c r="D298" s="28">
        <f t="shared" si="24"/>
        <v>1963.0290769491089</v>
      </c>
      <c r="E298" s="28">
        <f t="shared" si="25"/>
        <v>-6718.9390454951263</v>
      </c>
      <c r="F298" s="23">
        <f t="shared" si="26"/>
        <v>559034.25260737678</v>
      </c>
    </row>
    <row r="299" spans="1:6" x14ac:dyDescent="0.2">
      <c r="A299" s="26">
        <f t="shared" si="27"/>
        <v>228</v>
      </c>
      <c r="B299" s="22">
        <f t="shared" si="28"/>
        <v>559034.25260737678</v>
      </c>
      <c r="C299" s="28">
        <f t="shared" si="29"/>
        <v>-8681.9681224442356</v>
      </c>
      <c r="D299" s="28">
        <f t="shared" si="24"/>
        <v>1939.7159557733855</v>
      </c>
      <c r="E299" s="28">
        <f t="shared" si="25"/>
        <v>-6742.2521666708499</v>
      </c>
      <c r="F299" s="23">
        <f t="shared" si="26"/>
        <v>552292.00044070592</v>
      </c>
    </row>
    <row r="300" spans="1:6" x14ac:dyDescent="0.2">
      <c r="A300" s="26">
        <f t="shared" si="27"/>
        <v>229</v>
      </c>
      <c r="B300" s="22">
        <f t="shared" si="28"/>
        <v>552292.00044070592</v>
      </c>
      <c r="C300" s="28">
        <f t="shared" si="29"/>
        <v>-8681.9681224442356</v>
      </c>
      <c r="D300" s="28">
        <f t="shared" si="24"/>
        <v>1916.3219436094757</v>
      </c>
      <c r="E300" s="28">
        <f t="shared" si="25"/>
        <v>-6765.6461788347597</v>
      </c>
      <c r="F300" s="23">
        <f t="shared" si="26"/>
        <v>545526.35426187119</v>
      </c>
    </row>
    <row r="301" spans="1:6" x14ac:dyDescent="0.2">
      <c r="A301" s="26">
        <f t="shared" si="27"/>
        <v>230</v>
      </c>
      <c r="B301" s="22">
        <f t="shared" si="28"/>
        <v>545526.35426187119</v>
      </c>
      <c r="C301" s="28">
        <f t="shared" si="29"/>
        <v>-8681.9681224442356</v>
      </c>
      <c r="D301" s="28">
        <f t="shared" si="24"/>
        <v>1892.8467597848814</v>
      </c>
      <c r="E301" s="28">
        <f t="shared" si="25"/>
        <v>-6789.1213626593544</v>
      </c>
      <c r="F301" s="23">
        <f t="shared" si="26"/>
        <v>538737.23289921181</v>
      </c>
    </row>
    <row r="302" spans="1:6" x14ac:dyDescent="0.2">
      <c r="A302" s="26">
        <f t="shared" si="27"/>
        <v>231</v>
      </c>
      <c r="B302" s="22">
        <f t="shared" si="28"/>
        <v>538737.23289921181</v>
      </c>
      <c r="C302" s="28">
        <f t="shared" si="29"/>
        <v>-8681.9681224442356</v>
      </c>
      <c r="D302" s="28">
        <f t="shared" si="24"/>
        <v>1869.2901226532363</v>
      </c>
      <c r="E302" s="28">
        <f t="shared" si="25"/>
        <v>-6812.6779997909998</v>
      </c>
      <c r="F302" s="23">
        <f t="shared" si="26"/>
        <v>531924.55489942082</v>
      </c>
    </row>
    <row r="303" spans="1:6" x14ac:dyDescent="0.2">
      <c r="A303" s="26">
        <f t="shared" si="27"/>
        <v>232</v>
      </c>
      <c r="B303" s="22">
        <f t="shared" si="28"/>
        <v>531924.55489942082</v>
      </c>
      <c r="C303" s="28">
        <f t="shared" si="29"/>
        <v>-8681.9681224442356</v>
      </c>
      <c r="D303" s="28">
        <f t="shared" si="24"/>
        <v>1845.6517495909297</v>
      </c>
      <c r="E303" s="28">
        <f t="shared" si="25"/>
        <v>-6836.3163728533054</v>
      </c>
      <c r="F303" s="23">
        <f t="shared" si="26"/>
        <v>525088.23852656747</v>
      </c>
    </row>
    <row r="304" spans="1:6" x14ac:dyDescent="0.2">
      <c r="A304" s="26">
        <f t="shared" si="27"/>
        <v>233</v>
      </c>
      <c r="B304" s="22">
        <f t="shared" si="28"/>
        <v>525088.23852656747</v>
      </c>
      <c r="C304" s="28">
        <f t="shared" si="29"/>
        <v>-8681.9681224442356</v>
      </c>
      <c r="D304" s="28">
        <f t="shared" si="24"/>
        <v>1821.9313569937133</v>
      </c>
      <c r="E304" s="28">
        <f t="shared" si="25"/>
        <v>-6860.0367654505226</v>
      </c>
      <c r="F304" s="23">
        <f t="shared" si="26"/>
        <v>518228.20176111697</v>
      </c>
    </row>
    <row r="305" spans="1:6" x14ac:dyDescent="0.2">
      <c r="A305" s="26">
        <f t="shared" si="27"/>
        <v>234</v>
      </c>
      <c r="B305" s="22">
        <f t="shared" si="28"/>
        <v>518228.20176111697</v>
      </c>
      <c r="C305" s="28">
        <f t="shared" si="29"/>
        <v>-8681.9681224442356</v>
      </c>
      <c r="D305" s="28">
        <f t="shared" si="24"/>
        <v>1798.1286602732998</v>
      </c>
      <c r="E305" s="28">
        <f t="shared" si="25"/>
        <v>-6883.8394621709358</v>
      </c>
      <c r="F305" s="23">
        <f t="shared" si="26"/>
        <v>511344.36229894601</v>
      </c>
    </row>
    <row r="306" spans="1:6" x14ac:dyDescent="0.2">
      <c r="A306" s="26">
        <f t="shared" si="27"/>
        <v>235</v>
      </c>
      <c r="B306" s="22">
        <f t="shared" si="28"/>
        <v>511344.36229894601</v>
      </c>
      <c r="C306" s="28">
        <f t="shared" si="29"/>
        <v>-8681.9681224442356</v>
      </c>
      <c r="D306" s="28">
        <f t="shared" si="24"/>
        <v>1774.243373853948</v>
      </c>
      <c r="E306" s="28">
        <f t="shared" si="25"/>
        <v>-6907.7247485902881</v>
      </c>
      <c r="F306" s="23">
        <f t="shared" si="26"/>
        <v>504436.63755035575</v>
      </c>
    </row>
    <row r="307" spans="1:6" x14ac:dyDescent="0.2">
      <c r="A307" s="26">
        <f t="shared" si="27"/>
        <v>236</v>
      </c>
      <c r="B307" s="22">
        <f t="shared" si="28"/>
        <v>504436.63755035575</v>
      </c>
      <c r="C307" s="28">
        <f t="shared" si="29"/>
        <v>-8681.9681224442356</v>
      </c>
      <c r="D307" s="28">
        <f t="shared" si="24"/>
        <v>1750.275211169037</v>
      </c>
      <c r="E307" s="28">
        <f t="shared" si="25"/>
        <v>-6931.6929112751986</v>
      </c>
      <c r="F307" s="23">
        <f t="shared" si="26"/>
        <v>497504.94463908055</v>
      </c>
    </row>
    <row r="308" spans="1:6" x14ac:dyDescent="0.2">
      <c r="A308" s="26">
        <f t="shared" si="27"/>
        <v>237</v>
      </c>
      <c r="B308" s="22">
        <f t="shared" si="28"/>
        <v>497504.94463908055</v>
      </c>
      <c r="C308" s="28">
        <f t="shared" si="29"/>
        <v>-8681.9681224442356</v>
      </c>
      <c r="D308" s="28">
        <f t="shared" si="24"/>
        <v>1726.2238846576277</v>
      </c>
      <c r="E308" s="28">
        <f t="shared" si="25"/>
        <v>-6955.7442377866082</v>
      </c>
      <c r="F308" s="23">
        <f t="shared" si="26"/>
        <v>490549.20040129393</v>
      </c>
    </row>
    <row r="309" spans="1:6" x14ac:dyDescent="0.2">
      <c r="A309" s="26">
        <f t="shared" si="27"/>
        <v>238</v>
      </c>
      <c r="B309" s="22">
        <f t="shared" si="28"/>
        <v>490549.20040129393</v>
      </c>
      <c r="C309" s="28">
        <f t="shared" si="29"/>
        <v>-8681.9681224442356</v>
      </c>
      <c r="D309" s="28">
        <f t="shared" si="24"/>
        <v>1702.0891057610124</v>
      </c>
      <c r="E309" s="28">
        <f t="shared" si="25"/>
        <v>-6979.8790166832232</v>
      </c>
      <c r="F309" s="23">
        <f t="shared" si="26"/>
        <v>483569.32138461072</v>
      </c>
    </row>
    <row r="310" spans="1:6" x14ac:dyDescent="0.2">
      <c r="A310" s="26">
        <f t="shared" si="27"/>
        <v>239</v>
      </c>
      <c r="B310" s="22">
        <f t="shared" si="28"/>
        <v>483569.32138461072</v>
      </c>
      <c r="C310" s="28">
        <f t="shared" si="29"/>
        <v>-8681.9681224442356</v>
      </c>
      <c r="D310" s="28">
        <f t="shared" si="24"/>
        <v>1677.8705849192547</v>
      </c>
      <c r="E310" s="28">
        <f t="shared" si="25"/>
        <v>-7004.0975375249809</v>
      </c>
      <c r="F310" s="23">
        <f t="shared" si="26"/>
        <v>476565.22384708573</v>
      </c>
    </row>
    <row r="311" spans="1:6" x14ac:dyDescent="0.2">
      <c r="A311" s="26">
        <f t="shared" si="27"/>
        <v>240</v>
      </c>
      <c r="B311" s="22">
        <f t="shared" si="28"/>
        <v>476565.22384708573</v>
      </c>
      <c r="C311" s="28">
        <f t="shared" si="29"/>
        <v>-8681.9681224442356</v>
      </c>
      <c r="D311" s="28">
        <f t="shared" si="24"/>
        <v>1653.5680315677123</v>
      </c>
      <c r="E311" s="28">
        <f t="shared" si="25"/>
        <v>-7028.4000908765229</v>
      </c>
      <c r="F311" s="23">
        <f t="shared" si="26"/>
        <v>469536.82375620923</v>
      </c>
    </row>
    <row r="312" spans="1:6" x14ac:dyDescent="0.2">
      <c r="A312" s="26">
        <f t="shared" si="27"/>
        <v>241</v>
      </c>
      <c r="B312" s="22">
        <f t="shared" si="28"/>
        <v>469536.82375620923</v>
      </c>
      <c r="C312" s="28">
        <f t="shared" si="29"/>
        <v>-8681.9681224442356</v>
      </c>
      <c r="D312" s="28">
        <f t="shared" si="24"/>
        <v>1629.1811541335544</v>
      </c>
      <c r="E312" s="28">
        <f t="shared" si="25"/>
        <v>-7052.786968310681</v>
      </c>
      <c r="F312" s="23">
        <f t="shared" si="26"/>
        <v>462484.03678789857</v>
      </c>
    </row>
    <row r="313" spans="1:6" x14ac:dyDescent="0.2">
      <c r="A313" s="26">
        <f t="shared" si="27"/>
        <v>242</v>
      </c>
      <c r="B313" s="22">
        <f t="shared" si="28"/>
        <v>462484.03678789857</v>
      </c>
      <c r="C313" s="28">
        <f t="shared" si="29"/>
        <v>-8681.9681224442356</v>
      </c>
      <c r="D313" s="28">
        <f t="shared" si="24"/>
        <v>1604.7096600322602</v>
      </c>
      <c r="E313" s="28">
        <f t="shared" si="25"/>
        <v>-7077.2584624119754</v>
      </c>
      <c r="F313" s="23">
        <f t="shared" si="26"/>
        <v>455406.77832548658</v>
      </c>
    </row>
    <row r="314" spans="1:6" x14ac:dyDescent="0.2">
      <c r="A314" s="26">
        <f t="shared" si="27"/>
        <v>243</v>
      </c>
      <c r="B314" s="22">
        <f t="shared" si="28"/>
        <v>455406.77832548658</v>
      </c>
      <c r="C314" s="28">
        <f t="shared" si="29"/>
        <v>-8681.9681224442356</v>
      </c>
      <c r="D314" s="28">
        <f t="shared" si="24"/>
        <v>1580.1532556641112</v>
      </c>
      <c r="E314" s="28">
        <f t="shared" si="25"/>
        <v>-7101.8148667801242</v>
      </c>
      <c r="F314" s="23">
        <f t="shared" si="26"/>
        <v>448304.96345870645</v>
      </c>
    </row>
    <row r="315" spans="1:6" x14ac:dyDescent="0.2">
      <c r="A315" s="26">
        <f t="shared" si="27"/>
        <v>244</v>
      </c>
      <c r="B315" s="22">
        <f t="shared" si="28"/>
        <v>448304.96345870645</v>
      </c>
      <c r="C315" s="28">
        <f t="shared" si="29"/>
        <v>-8681.9681224442356</v>
      </c>
      <c r="D315" s="28">
        <f t="shared" si="24"/>
        <v>1555.5116464106673</v>
      </c>
      <c r="E315" s="28">
        <f t="shared" si="25"/>
        <v>-7126.4564760335688</v>
      </c>
      <c r="F315" s="23">
        <f t="shared" si="26"/>
        <v>441178.5069826729</v>
      </c>
    </row>
    <row r="316" spans="1:6" x14ac:dyDescent="0.2">
      <c r="A316" s="26">
        <f t="shared" si="27"/>
        <v>245</v>
      </c>
      <c r="B316" s="22">
        <f t="shared" si="28"/>
        <v>441178.5069826729</v>
      </c>
      <c r="C316" s="28">
        <f t="shared" si="29"/>
        <v>-8681.9681224442356</v>
      </c>
      <c r="D316" s="28">
        <f t="shared" si="24"/>
        <v>1530.7845366312324</v>
      </c>
      <c r="E316" s="28">
        <f t="shared" si="25"/>
        <v>-7151.1835858130034</v>
      </c>
      <c r="F316" s="23">
        <f t="shared" si="26"/>
        <v>434027.32339685992</v>
      </c>
    </row>
    <row r="317" spans="1:6" x14ac:dyDescent="0.2">
      <c r="A317" s="26">
        <f t="shared" si="27"/>
        <v>246</v>
      </c>
      <c r="B317" s="22">
        <f t="shared" si="28"/>
        <v>434027.32339685992</v>
      </c>
      <c r="C317" s="28">
        <f t="shared" si="29"/>
        <v>-8681.9681224442356</v>
      </c>
      <c r="D317" s="28">
        <f t="shared" si="24"/>
        <v>1505.9716296593081</v>
      </c>
      <c r="E317" s="28">
        <f t="shared" si="25"/>
        <v>-7175.9964927849278</v>
      </c>
      <c r="F317" s="23">
        <f t="shared" si="26"/>
        <v>426851.32690407499</v>
      </c>
    </row>
    <row r="318" spans="1:6" x14ac:dyDescent="0.2">
      <c r="A318" s="26">
        <f t="shared" si="27"/>
        <v>247</v>
      </c>
      <c r="B318" s="22">
        <f t="shared" si="28"/>
        <v>426851.32690407499</v>
      </c>
      <c r="C318" s="28">
        <f t="shared" si="29"/>
        <v>-8681.9681224442356</v>
      </c>
      <c r="D318" s="28">
        <f t="shared" si="24"/>
        <v>1481.0726277990325</v>
      </c>
      <c r="E318" s="28">
        <f t="shared" si="25"/>
        <v>-7200.8954946452031</v>
      </c>
      <c r="F318" s="23">
        <f t="shared" si="26"/>
        <v>419650.43140942976</v>
      </c>
    </row>
    <row r="319" spans="1:6" x14ac:dyDescent="0.2">
      <c r="A319" s="26">
        <f t="shared" si="27"/>
        <v>248</v>
      </c>
      <c r="B319" s="22">
        <f t="shared" si="28"/>
        <v>419650.43140942976</v>
      </c>
      <c r="C319" s="28">
        <f t="shared" si="29"/>
        <v>-8681.9681224442356</v>
      </c>
      <c r="D319" s="28">
        <f t="shared" si="24"/>
        <v>1456.0872323216111</v>
      </c>
      <c r="E319" s="28">
        <f t="shared" si="25"/>
        <v>-7225.8808901226248</v>
      </c>
      <c r="F319" s="23">
        <f t="shared" si="26"/>
        <v>412424.55051930714</v>
      </c>
    </row>
    <row r="320" spans="1:6" x14ac:dyDescent="0.2">
      <c r="A320" s="26">
        <f t="shared" si="27"/>
        <v>249</v>
      </c>
      <c r="B320" s="22">
        <f t="shared" si="28"/>
        <v>412424.55051930714</v>
      </c>
      <c r="C320" s="28">
        <f t="shared" si="29"/>
        <v>-8681.9681224442356</v>
      </c>
      <c r="D320" s="28">
        <f t="shared" si="24"/>
        <v>1431.015143461731</v>
      </c>
      <c r="E320" s="28">
        <f t="shared" si="25"/>
        <v>-7250.9529789825046</v>
      </c>
      <c r="F320" s="23">
        <f t="shared" si="26"/>
        <v>405173.59754032461</v>
      </c>
    </row>
    <row r="321" spans="1:6" x14ac:dyDescent="0.2">
      <c r="A321" s="26">
        <f t="shared" si="27"/>
        <v>250</v>
      </c>
      <c r="B321" s="22">
        <f t="shared" si="28"/>
        <v>405173.59754032461</v>
      </c>
      <c r="C321" s="28">
        <f t="shared" si="29"/>
        <v>-8681.9681224442356</v>
      </c>
      <c r="D321" s="28">
        <f t="shared" si="24"/>
        <v>1405.8560604139645</v>
      </c>
      <c r="E321" s="28">
        <f t="shared" si="25"/>
        <v>-7276.1120620302709</v>
      </c>
      <c r="F321" s="23">
        <f t="shared" si="26"/>
        <v>397897.48547829431</v>
      </c>
    </row>
    <row r="322" spans="1:6" x14ac:dyDescent="0.2">
      <c r="A322" s="26">
        <f t="shared" si="27"/>
        <v>251</v>
      </c>
      <c r="B322" s="22">
        <f t="shared" si="28"/>
        <v>397897.48547829431</v>
      </c>
      <c r="C322" s="28">
        <f t="shared" si="29"/>
        <v>-8681.9681224442356</v>
      </c>
      <c r="D322" s="28">
        <f t="shared" si="24"/>
        <v>1380.6096813291615</v>
      </c>
      <c r="E322" s="28">
        <f t="shared" si="25"/>
        <v>-7301.3584411150741</v>
      </c>
      <c r="F322" s="23">
        <f t="shared" si="26"/>
        <v>390596.12703717925</v>
      </c>
    </row>
    <row r="323" spans="1:6" x14ac:dyDescent="0.2">
      <c r="A323" s="26">
        <f t="shared" si="27"/>
        <v>252</v>
      </c>
      <c r="B323" s="22">
        <f t="shared" si="28"/>
        <v>390596.12703717925</v>
      </c>
      <c r="C323" s="28">
        <f t="shared" si="29"/>
        <v>-8681.9681224442356</v>
      </c>
      <c r="D323" s="28">
        <f t="shared" si="24"/>
        <v>1355.2757033108267</v>
      </c>
      <c r="E323" s="28">
        <f t="shared" si="25"/>
        <v>-7326.6924191334092</v>
      </c>
      <c r="F323" s="23">
        <f t="shared" si="26"/>
        <v>383269.43461804587</v>
      </c>
    </row>
    <row r="324" spans="1:6" x14ac:dyDescent="0.2">
      <c r="A324" s="26">
        <f t="shared" si="27"/>
        <v>253</v>
      </c>
      <c r="B324" s="22">
        <f t="shared" si="28"/>
        <v>383269.43461804587</v>
      </c>
      <c r="C324" s="28">
        <f t="shared" si="29"/>
        <v>-8681.9681224442356</v>
      </c>
      <c r="D324" s="28">
        <f t="shared" si="24"/>
        <v>1329.8538224114855</v>
      </c>
      <c r="E324" s="28">
        <f t="shared" si="25"/>
        <v>-7352.1143000327502</v>
      </c>
      <c r="F324" s="23">
        <f t="shared" si="26"/>
        <v>375917.32031801314</v>
      </c>
    </row>
    <row r="325" spans="1:6" x14ac:dyDescent="0.2">
      <c r="A325" s="26">
        <f t="shared" si="27"/>
        <v>254</v>
      </c>
      <c r="B325" s="22">
        <f t="shared" si="28"/>
        <v>375917.32031801314</v>
      </c>
      <c r="C325" s="28">
        <f t="shared" si="29"/>
        <v>-8681.9681224442356</v>
      </c>
      <c r="D325" s="28">
        <f t="shared" si="24"/>
        <v>1304.3437336290383</v>
      </c>
      <c r="E325" s="28">
        <f t="shared" si="25"/>
        <v>-7377.6243888151976</v>
      </c>
      <c r="F325" s="23">
        <f t="shared" si="26"/>
        <v>368539.69592919794</v>
      </c>
    </row>
    <row r="326" spans="1:6" x14ac:dyDescent="0.2">
      <c r="A326" s="26">
        <f t="shared" si="27"/>
        <v>255</v>
      </c>
      <c r="B326" s="22">
        <f t="shared" si="28"/>
        <v>368539.69592919794</v>
      </c>
      <c r="C326" s="28">
        <f t="shared" si="29"/>
        <v>-8681.9681224442356</v>
      </c>
      <c r="D326" s="28">
        <f t="shared" si="24"/>
        <v>1278.7451309031007</v>
      </c>
      <c r="E326" s="28">
        <f t="shared" si="25"/>
        <v>-7403.2229915411353</v>
      </c>
      <c r="F326" s="23">
        <f t="shared" si="26"/>
        <v>361136.4729376568</v>
      </c>
    </row>
    <row r="327" spans="1:6" x14ac:dyDescent="0.2">
      <c r="A327" s="26">
        <f t="shared" si="27"/>
        <v>256</v>
      </c>
      <c r="B327" s="22">
        <f t="shared" si="28"/>
        <v>361136.4729376568</v>
      </c>
      <c r="C327" s="28">
        <f t="shared" si="29"/>
        <v>-8681.9681224442356</v>
      </c>
      <c r="D327" s="28">
        <f t="shared" si="24"/>
        <v>1253.0577071113314</v>
      </c>
      <c r="E327" s="28">
        <f t="shared" si="25"/>
        <v>-7428.9104153329044</v>
      </c>
      <c r="F327" s="23">
        <f t="shared" si="26"/>
        <v>353707.56252232392</v>
      </c>
    </row>
    <row r="328" spans="1:6" x14ac:dyDescent="0.2">
      <c r="A328" s="26">
        <f t="shared" si="27"/>
        <v>257</v>
      </c>
      <c r="B328" s="22">
        <f t="shared" si="28"/>
        <v>353707.56252232392</v>
      </c>
      <c r="C328" s="28">
        <f t="shared" si="29"/>
        <v>-8681.9681224442356</v>
      </c>
      <c r="D328" s="28">
        <f t="shared" ref="D328:D371" si="30">+B328*$B$14</f>
        <v>1227.2811540657476</v>
      </c>
      <c r="E328" s="28">
        <f t="shared" ref="E328:E371" si="31">+C328+D328</f>
        <v>-7454.686968378488</v>
      </c>
      <c r="F328" s="23">
        <f t="shared" ref="F328:F371" si="32">+B328+E328</f>
        <v>346252.87555394543</v>
      </c>
    </row>
    <row r="329" spans="1:6" x14ac:dyDescent="0.2">
      <c r="A329" s="26">
        <f t="shared" ref="A329:A371" si="33">1+A328</f>
        <v>258</v>
      </c>
      <c r="B329" s="22">
        <f t="shared" ref="B329:B371" si="34">F328</f>
        <v>346252.87555394543</v>
      </c>
      <c r="C329" s="28">
        <f t="shared" ref="C329:C371" si="35">C328</f>
        <v>-8681.9681224442356</v>
      </c>
      <c r="D329" s="28">
        <f t="shared" si="30"/>
        <v>1201.4151625090276</v>
      </c>
      <c r="E329" s="28">
        <f t="shared" si="31"/>
        <v>-7480.5529599352085</v>
      </c>
      <c r="F329" s="23">
        <f t="shared" si="32"/>
        <v>338772.32259401021</v>
      </c>
    </row>
    <row r="330" spans="1:6" x14ac:dyDescent="0.2">
      <c r="A330" s="26">
        <f t="shared" si="33"/>
        <v>259</v>
      </c>
      <c r="B330" s="22">
        <f t="shared" si="34"/>
        <v>338772.32259401021</v>
      </c>
      <c r="C330" s="28">
        <f t="shared" si="35"/>
        <v>-8681.9681224442356</v>
      </c>
      <c r="D330" s="28">
        <f t="shared" si="30"/>
        <v>1175.4594221108002</v>
      </c>
      <c r="E330" s="28">
        <f t="shared" si="31"/>
        <v>-7506.5087003334356</v>
      </c>
      <c r="F330" s="23">
        <f t="shared" si="32"/>
        <v>331265.81389367679</v>
      </c>
    </row>
    <row r="331" spans="1:6" x14ac:dyDescent="0.2">
      <c r="A331" s="26">
        <f t="shared" si="33"/>
        <v>260</v>
      </c>
      <c r="B331" s="22">
        <f t="shared" si="34"/>
        <v>331265.81389367679</v>
      </c>
      <c r="C331" s="28">
        <f t="shared" si="35"/>
        <v>-8681.9681224442356</v>
      </c>
      <c r="D331" s="28">
        <f t="shared" si="30"/>
        <v>1149.4136214639216</v>
      </c>
      <c r="E331" s="28">
        <f t="shared" si="31"/>
        <v>-7532.5545009803136</v>
      </c>
      <c r="F331" s="23">
        <f t="shared" si="32"/>
        <v>323733.25939269649</v>
      </c>
    </row>
    <row r="332" spans="1:6" x14ac:dyDescent="0.2">
      <c r="A332" s="26">
        <f t="shared" si="33"/>
        <v>261</v>
      </c>
      <c r="B332" s="22">
        <f t="shared" si="34"/>
        <v>323733.25939269649</v>
      </c>
      <c r="C332" s="28">
        <f t="shared" si="35"/>
        <v>-8681.9681224442356</v>
      </c>
      <c r="D332" s="28">
        <f t="shared" si="30"/>
        <v>1123.2774480807393</v>
      </c>
      <c r="E332" s="28">
        <f t="shared" si="31"/>
        <v>-7558.6906743634963</v>
      </c>
      <c r="F332" s="23">
        <f t="shared" si="32"/>
        <v>316174.56871833297</v>
      </c>
    </row>
    <row r="333" spans="1:6" x14ac:dyDescent="0.2">
      <c r="A333" s="26">
        <f t="shared" si="33"/>
        <v>262</v>
      </c>
      <c r="B333" s="22">
        <f t="shared" si="34"/>
        <v>316174.56871833297</v>
      </c>
      <c r="C333" s="28">
        <f t="shared" si="35"/>
        <v>-8681.9681224442356</v>
      </c>
      <c r="D333" s="28">
        <f t="shared" si="30"/>
        <v>1097.0505883893429</v>
      </c>
      <c r="E333" s="28">
        <f t="shared" si="31"/>
        <v>-7584.9175340548927</v>
      </c>
      <c r="F333" s="23">
        <f t="shared" si="32"/>
        <v>308589.65118427807</v>
      </c>
    </row>
    <row r="334" spans="1:6" x14ac:dyDescent="0.2">
      <c r="A334" s="26">
        <f t="shared" si="33"/>
        <v>263</v>
      </c>
      <c r="B334" s="22">
        <f t="shared" si="34"/>
        <v>308589.65118427807</v>
      </c>
      <c r="C334" s="28">
        <f t="shared" si="35"/>
        <v>-8681.9681224442356</v>
      </c>
      <c r="D334" s="28">
        <f t="shared" si="30"/>
        <v>1070.7327277298018</v>
      </c>
      <c r="E334" s="28">
        <f t="shared" si="31"/>
        <v>-7611.2353947144338</v>
      </c>
      <c r="F334" s="23">
        <f t="shared" si="32"/>
        <v>300978.41578956362</v>
      </c>
    </row>
    <row r="335" spans="1:6" x14ac:dyDescent="0.2">
      <c r="A335" s="26">
        <f t="shared" si="33"/>
        <v>264</v>
      </c>
      <c r="B335" s="22">
        <f t="shared" si="34"/>
        <v>300978.41578956362</v>
      </c>
      <c r="C335" s="28">
        <f t="shared" si="35"/>
        <v>-8681.9681224442356</v>
      </c>
      <c r="D335" s="28">
        <f t="shared" si="30"/>
        <v>1044.3235503503906</v>
      </c>
      <c r="E335" s="28">
        <f t="shared" si="31"/>
        <v>-7637.6445720938445</v>
      </c>
      <c r="F335" s="23">
        <f t="shared" si="32"/>
        <v>293340.77121746977</v>
      </c>
    </row>
    <row r="336" spans="1:6" x14ac:dyDescent="0.2">
      <c r="A336" s="26">
        <f t="shared" si="33"/>
        <v>265</v>
      </c>
      <c r="B336" s="22">
        <f t="shared" si="34"/>
        <v>293340.77121746977</v>
      </c>
      <c r="C336" s="28">
        <f t="shared" si="35"/>
        <v>-8681.9681224442356</v>
      </c>
      <c r="D336" s="28">
        <f t="shared" si="30"/>
        <v>1017.8227394038004</v>
      </c>
      <c r="E336" s="28">
        <f t="shared" si="31"/>
        <v>-7664.1453830404353</v>
      </c>
      <c r="F336" s="23">
        <f t="shared" si="32"/>
        <v>285676.62583442935</v>
      </c>
    </row>
    <row r="337" spans="1:6" x14ac:dyDescent="0.2">
      <c r="A337" s="26">
        <f t="shared" si="33"/>
        <v>266</v>
      </c>
      <c r="B337" s="22">
        <f t="shared" si="34"/>
        <v>285676.62583442935</v>
      </c>
      <c r="C337" s="28">
        <f t="shared" si="35"/>
        <v>-8681.9681224442356</v>
      </c>
      <c r="D337" s="28">
        <f t="shared" si="30"/>
        <v>991.22997694333742</v>
      </c>
      <c r="E337" s="28">
        <f t="shared" si="31"/>
        <v>-7690.7381455008981</v>
      </c>
      <c r="F337" s="23">
        <f t="shared" si="32"/>
        <v>277985.88768892846</v>
      </c>
    </row>
    <row r="338" spans="1:6" x14ac:dyDescent="0.2">
      <c r="A338" s="26">
        <f t="shared" si="33"/>
        <v>267</v>
      </c>
      <c r="B338" s="22">
        <f t="shared" si="34"/>
        <v>277985.88768892846</v>
      </c>
      <c r="C338" s="28">
        <f t="shared" si="35"/>
        <v>-8681.9681224442356</v>
      </c>
      <c r="D338" s="28">
        <f t="shared" si="30"/>
        <v>964.54494391910828</v>
      </c>
      <c r="E338" s="28">
        <f t="shared" si="31"/>
        <v>-7717.4231785251277</v>
      </c>
      <c r="F338" s="23">
        <f t="shared" si="32"/>
        <v>270268.46451040334</v>
      </c>
    </row>
    <row r="339" spans="1:6" x14ac:dyDescent="0.2">
      <c r="A339" s="26">
        <f t="shared" si="33"/>
        <v>268</v>
      </c>
      <c r="B339" s="22">
        <f t="shared" si="34"/>
        <v>270268.46451040334</v>
      </c>
      <c r="C339" s="28">
        <f t="shared" si="35"/>
        <v>-8681.9681224442356</v>
      </c>
      <c r="D339" s="28">
        <f t="shared" si="30"/>
        <v>937.76732017419261</v>
      </c>
      <c r="E339" s="28">
        <f t="shared" si="31"/>
        <v>-7744.2008022700429</v>
      </c>
      <c r="F339" s="23">
        <f t="shared" si="32"/>
        <v>262524.26370813331</v>
      </c>
    </row>
    <row r="340" spans="1:6" x14ac:dyDescent="0.2">
      <c r="A340" s="26">
        <f t="shared" si="33"/>
        <v>269</v>
      </c>
      <c r="B340" s="22">
        <f t="shared" si="34"/>
        <v>262524.26370813331</v>
      </c>
      <c r="C340" s="28">
        <f t="shared" si="35"/>
        <v>-8681.9681224442356</v>
      </c>
      <c r="D340" s="28">
        <f t="shared" si="30"/>
        <v>910.89678444080118</v>
      </c>
      <c r="E340" s="28">
        <f t="shared" si="31"/>
        <v>-7771.071338003434</v>
      </c>
      <c r="F340" s="23">
        <f t="shared" si="32"/>
        <v>254753.19237012987</v>
      </c>
    </row>
    <row r="341" spans="1:6" x14ac:dyDescent="0.2">
      <c r="A341" s="26">
        <f t="shared" si="33"/>
        <v>270</v>
      </c>
      <c r="B341" s="22">
        <f t="shared" si="34"/>
        <v>254753.19237012987</v>
      </c>
      <c r="C341" s="28">
        <f t="shared" si="35"/>
        <v>-8681.9681224442356</v>
      </c>
      <c r="D341" s="28">
        <f t="shared" si="30"/>
        <v>883.9330143364225</v>
      </c>
      <c r="E341" s="28">
        <f t="shared" si="31"/>
        <v>-7798.0351081078134</v>
      </c>
      <c r="F341" s="23">
        <f t="shared" si="32"/>
        <v>246955.15726202205</v>
      </c>
    </row>
    <row r="342" spans="1:6" x14ac:dyDescent="0.2">
      <c r="A342" s="26">
        <f t="shared" si="33"/>
        <v>271</v>
      </c>
      <c r="B342" s="22">
        <f t="shared" si="34"/>
        <v>246955.15726202205</v>
      </c>
      <c r="C342" s="28">
        <f t="shared" si="35"/>
        <v>-8681.9681224442356</v>
      </c>
      <c r="D342" s="28">
        <f t="shared" si="30"/>
        <v>856.87568635995387</v>
      </c>
      <c r="E342" s="28">
        <f t="shared" si="31"/>
        <v>-7825.0924360842819</v>
      </c>
      <c r="F342" s="23">
        <f t="shared" si="32"/>
        <v>239130.06482593776</v>
      </c>
    </row>
    <row r="343" spans="1:6" x14ac:dyDescent="0.2">
      <c r="A343" s="26">
        <f t="shared" si="33"/>
        <v>272</v>
      </c>
      <c r="B343" s="22">
        <f t="shared" si="34"/>
        <v>239130.06482593776</v>
      </c>
      <c r="C343" s="28">
        <f t="shared" si="35"/>
        <v>-8681.9681224442356</v>
      </c>
      <c r="D343" s="28">
        <f t="shared" si="30"/>
        <v>829.7244758878212</v>
      </c>
      <c r="E343" s="28">
        <f t="shared" si="31"/>
        <v>-7852.2436465564142</v>
      </c>
      <c r="F343" s="23">
        <f t="shared" si="32"/>
        <v>231277.82117938134</v>
      </c>
    </row>
    <row r="344" spans="1:6" x14ac:dyDescent="0.2">
      <c r="A344" s="26">
        <f t="shared" si="33"/>
        <v>273</v>
      </c>
      <c r="B344" s="22">
        <f t="shared" si="34"/>
        <v>231277.82117938134</v>
      </c>
      <c r="C344" s="28">
        <f t="shared" si="35"/>
        <v>-8681.9681224442356</v>
      </c>
      <c r="D344" s="28">
        <f t="shared" si="30"/>
        <v>802.47905717008314</v>
      </c>
      <c r="E344" s="28">
        <f t="shared" si="31"/>
        <v>-7879.4890652741524</v>
      </c>
      <c r="F344" s="23">
        <f t="shared" si="32"/>
        <v>223398.33211410718</v>
      </c>
    </row>
    <row r="345" spans="1:6" x14ac:dyDescent="0.2">
      <c r="A345" s="26">
        <f t="shared" si="33"/>
        <v>274</v>
      </c>
      <c r="B345" s="22">
        <f t="shared" si="34"/>
        <v>223398.33211410718</v>
      </c>
      <c r="C345" s="28">
        <f t="shared" si="35"/>
        <v>-8681.9681224442356</v>
      </c>
      <c r="D345" s="28">
        <f t="shared" si="30"/>
        <v>775.13910332652415</v>
      </c>
      <c r="E345" s="28">
        <f t="shared" si="31"/>
        <v>-7906.8290191177111</v>
      </c>
      <c r="F345" s="23">
        <f t="shared" si="32"/>
        <v>215491.50309498946</v>
      </c>
    </row>
    <row r="346" spans="1:6" x14ac:dyDescent="0.2">
      <c r="A346" s="26">
        <f t="shared" si="33"/>
        <v>275</v>
      </c>
      <c r="B346" s="22">
        <f t="shared" si="34"/>
        <v>215491.50309498946</v>
      </c>
      <c r="C346" s="28">
        <f t="shared" si="35"/>
        <v>-8681.9681224442356</v>
      </c>
      <c r="D346" s="28">
        <f t="shared" si="30"/>
        <v>747.70428634273151</v>
      </c>
      <c r="E346" s="28">
        <f t="shared" si="31"/>
        <v>-7934.2638361015042</v>
      </c>
      <c r="F346" s="23">
        <f t="shared" si="32"/>
        <v>207557.23925888794</v>
      </c>
    </row>
    <row r="347" spans="1:6" x14ac:dyDescent="0.2">
      <c r="A347" s="26">
        <f t="shared" si="33"/>
        <v>276</v>
      </c>
      <c r="B347" s="22">
        <f t="shared" si="34"/>
        <v>207557.23925888794</v>
      </c>
      <c r="C347" s="28">
        <f t="shared" si="35"/>
        <v>-8681.9681224442356</v>
      </c>
      <c r="D347" s="28">
        <f t="shared" si="30"/>
        <v>720.17427706616081</v>
      </c>
      <c r="E347" s="28">
        <f t="shared" si="31"/>
        <v>-7961.7938453780753</v>
      </c>
      <c r="F347" s="23">
        <f t="shared" si="32"/>
        <v>199595.44541350988</v>
      </c>
    </row>
    <row r="348" spans="1:6" x14ac:dyDescent="0.2">
      <c r="A348" s="26">
        <f t="shared" si="33"/>
        <v>277</v>
      </c>
      <c r="B348" s="22">
        <f t="shared" si="34"/>
        <v>199595.44541350988</v>
      </c>
      <c r="C348" s="28">
        <f t="shared" si="35"/>
        <v>-8681.9681224442356</v>
      </c>
      <c r="D348" s="28">
        <f t="shared" si="30"/>
        <v>692.54874520218641</v>
      </c>
      <c r="E348" s="28">
        <f t="shared" si="31"/>
        <v>-7989.4193772420494</v>
      </c>
      <c r="F348" s="23">
        <f t="shared" si="32"/>
        <v>191606.02603626784</v>
      </c>
    </row>
    <row r="349" spans="1:6" x14ac:dyDescent="0.2">
      <c r="A349" s="26">
        <f t="shared" si="33"/>
        <v>278</v>
      </c>
      <c r="B349" s="22">
        <f t="shared" si="34"/>
        <v>191606.02603626784</v>
      </c>
      <c r="C349" s="28">
        <f t="shared" si="35"/>
        <v>-8681.9681224442356</v>
      </c>
      <c r="D349" s="28">
        <f t="shared" si="30"/>
        <v>664.82735931013895</v>
      </c>
      <c r="E349" s="28">
        <f t="shared" si="31"/>
        <v>-8017.1407631340971</v>
      </c>
      <c r="F349" s="23">
        <f t="shared" si="32"/>
        <v>183588.88527313375</v>
      </c>
    </row>
    <row r="350" spans="1:6" x14ac:dyDescent="0.2">
      <c r="A350" s="26">
        <f t="shared" si="33"/>
        <v>279</v>
      </c>
      <c r="B350" s="22">
        <f t="shared" si="34"/>
        <v>183588.88527313375</v>
      </c>
      <c r="C350" s="28">
        <f t="shared" si="35"/>
        <v>-8681.9681224442356</v>
      </c>
      <c r="D350" s="28">
        <f t="shared" si="30"/>
        <v>637.00978679932859</v>
      </c>
      <c r="E350" s="28">
        <f t="shared" si="31"/>
        <v>-8044.9583356449075</v>
      </c>
      <c r="F350" s="23">
        <f t="shared" si="32"/>
        <v>175543.92693748884</v>
      </c>
    </row>
    <row r="351" spans="1:6" x14ac:dyDescent="0.2">
      <c r="A351" s="26">
        <f t="shared" si="33"/>
        <v>280</v>
      </c>
      <c r="B351" s="22">
        <f t="shared" si="34"/>
        <v>175543.92693748884</v>
      </c>
      <c r="C351" s="28">
        <f t="shared" si="35"/>
        <v>-8681.9681224442356</v>
      </c>
      <c r="D351" s="28">
        <f t="shared" si="30"/>
        <v>609.09569392505477</v>
      </c>
      <c r="E351" s="28">
        <f t="shared" si="31"/>
        <v>-8072.8724285191811</v>
      </c>
      <c r="F351" s="23">
        <f t="shared" si="32"/>
        <v>167471.05450896965</v>
      </c>
    </row>
    <row r="352" spans="1:6" x14ac:dyDescent="0.2">
      <c r="A352" s="26">
        <f t="shared" si="33"/>
        <v>281</v>
      </c>
      <c r="B352" s="22">
        <f t="shared" si="34"/>
        <v>167471.05450896965</v>
      </c>
      <c r="C352" s="28">
        <f t="shared" si="35"/>
        <v>-8681.9681224442356</v>
      </c>
      <c r="D352" s="28">
        <f t="shared" si="30"/>
        <v>581.08474578460255</v>
      </c>
      <c r="E352" s="28">
        <f t="shared" si="31"/>
        <v>-8100.8833766596326</v>
      </c>
      <c r="F352" s="23">
        <f t="shared" si="32"/>
        <v>159370.17113231003</v>
      </c>
    </row>
    <row r="353" spans="1:6" x14ac:dyDescent="0.2">
      <c r="A353" s="26">
        <f t="shared" si="33"/>
        <v>282</v>
      </c>
      <c r="B353" s="22">
        <f t="shared" si="34"/>
        <v>159370.17113231003</v>
      </c>
      <c r="C353" s="28">
        <f t="shared" si="35"/>
        <v>-8681.9681224442356</v>
      </c>
      <c r="D353" s="28">
        <f t="shared" si="30"/>
        <v>552.9766063132239</v>
      </c>
      <c r="E353" s="28">
        <f t="shared" si="31"/>
        <v>-8128.9915161310118</v>
      </c>
      <c r="F353" s="23">
        <f t="shared" si="32"/>
        <v>151241.17961617903</v>
      </c>
    </row>
    <row r="354" spans="1:6" x14ac:dyDescent="0.2">
      <c r="A354" s="26">
        <f t="shared" si="33"/>
        <v>283</v>
      </c>
      <c r="B354" s="22">
        <f t="shared" si="34"/>
        <v>151241.17961617903</v>
      </c>
      <c r="C354" s="28">
        <f t="shared" si="35"/>
        <v>-8681.9681224442356</v>
      </c>
      <c r="D354" s="28">
        <f t="shared" si="30"/>
        <v>524.77093828010607</v>
      </c>
      <c r="E354" s="28">
        <f t="shared" si="31"/>
        <v>-8157.1971841641298</v>
      </c>
      <c r="F354" s="23">
        <f t="shared" si="32"/>
        <v>143083.98243201489</v>
      </c>
    </row>
    <row r="355" spans="1:6" x14ac:dyDescent="0.2">
      <c r="A355" s="26">
        <f t="shared" si="33"/>
        <v>284</v>
      </c>
      <c r="B355" s="22">
        <f t="shared" si="34"/>
        <v>143083.98243201489</v>
      </c>
      <c r="C355" s="28">
        <f t="shared" si="35"/>
        <v>-8681.9681224442356</v>
      </c>
      <c r="D355" s="28">
        <f t="shared" si="30"/>
        <v>496.4674032843256</v>
      </c>
      <c r="E355" s="28">
        <f t="shared" si="31"/>
        <v>-8185.5007191599097</v>
      </c>
      <c r="F355" s="23">
        <f t="shared" si="32"/>
        <v>134898.48171285499</v>
      </c>
    </row>
    <row r="356" spans="1:6" x14ac:dyDescent="0.2">
      <c r="A356" s="26">
        <f t="shared" si="33"/>
        <v>285</v>
      </c>
      <c r="B356" s="22">
        <f t="shared" si="34"/>
        <v>134898.48171285499</v>
      </c>
      <c r="C356" s="28">
        <f t="shared" si="35"/>
        <v>-8681.9681224442356</v>
      </c>
      <c r="D356" s="28">
        <f t="shared" si="30"/>
        <v>468.06566175078819</v>
      </c>
      <c r="E356" s="28">
        <f t="shared" si="31"/>
        <v>-8213.9024606934472</v>
      </c>
      <c r="F356" s="23">
        <f t="shared" si="32"/>
        <v>126684.57925216155</v>
      </c>
    </row>
    <row r="357" spans="1:6" x14ac:dyDescent="0.2">
      <c r="A357" s="26">
        <f t="shared" si="33"/>
        <v>286</v>
      </c>
      <c r="B357" s="22">
        <f t="shared" si="34"/>
        <v>126684.57925216155</v>
      </c>
      <c r="C357" s="28">
        <f t="shared" si="35"/>
        <v>-8681.9681224442356</v>
      </c>
      <c r="D357" s="28">
        <f t="shared" si="30"/>
        <v>439.56537292615474</v>
      </c>
      <c r="E357" s="28">
        <f t="shared" si="31"/>
        <v>-8242.4027495180817</v>
      </c>
      <c r="F357" s="23">
        <f t="shared" si="32"/>
        <v>118442.17650264347</v>
      </c>
    </row>
    <row r="358" spans="1:6" x14ac:dyDescent="0.2">
      <c r="A358" s="26">
        <f t="shared" si="33"/>
        <v>287</v>
      </c>
      <c r="B358" s="22">
        <f t="shared" si="34"/>
        <v>118442.17650264347</v>
      </c>
      <c r="C358" s="28">
        <f t="shared" si="35"/>
        <v>-8681.9681224442356</v>
      </c>
      <c r="D358" s="28">
        <f t="shared" si="30"/>
        <v>410.966194874753</v>
      </c>
      <c r="E358" s="28">
        <f t="shared" si="31"/>
        <v>-8271.0019275694831</v>
      </c>
      <c r="F358" s="23">
        <f t="shared" si="32"/>
        <v>110171.17457507399</v>
      </c>
    </row>
    <row r="359" spans="1:6" x14ac:dyDescent="0.2">
      <c r="A359" s="26">
        <f t="shared" si="33"/>
        <v>288</v>
      </c>
      <c r="B359" s="22">
        <f t="shared" si="34"/>
        <v>110171.17457507399</v>
      </c>
      <c r="C359" s="28">
        <f t="shared" si="35"/>
        <v>-8681.9681224442356</v>
      </c>
      <c r="D359" s="28">
        <f t="shared" si="30"/>
        <v>382.26778447447543</v>
      </c>
      <c r="E359" s="28">
        <f t="shared" si="31"/>
        <v>-8299.7003379697599</v>
      </c>
      <c r="F359" s="23">
        <f t="shared" si="32"/>
        <v>101871.47423710424</v>
      </c>
    </row>
    <row r="360" spans="1:6" x14ac:dyDescent="0.2">
      <c r="A360" s="26">
        <f t="shared" si="33"/>
        <v>289</v>
      </c>
      <c r="B360" s="22">
        <f t="shared" si="34"/>
        <v>101871.47423710424</v>
      </c>
      <c r="C360" s="28">
        <f t="shared" si="35"/>
        <v>-8681.9681224442356</v>
      </c>
      <c r="D360" s="28">
        <f t="shared" si="30"/>
        <v>353.46979741266216</v>
      </c>
      <c r="E360" s="28">
        <f t="shared" si="31"/>
        <v>-8328.4983250315727</v>
      </c>
      <c r="F360" s="23">
        <f t="shared" si="32"/>
        <v>93542.975912072667</v>
      </c>
    </row>
    <row r="361" spans="1:6" x14ac:dyDescent="0.2">
      <c r="A361" s="26">
        <f t="shared" si="33"/>
        <v>290</v>
      </c>
      <c r="B361" s="22">
        <f t="shared" si="34"/>
        <v>93542.975912072667</v>
      </c>
      <c r="C361" s="28">
        <f t="shared" si="35"/>
        <v>-8681.9681224442356</v>
      </c>
      <c r="D361" s="28">
        <f t="shared" si="30"/>
        <v>324.57188818197028</v>
      </c>
      <c r="E361" s="28">
        <f t="shared" si="31"/>
        <v>-8357.3962342622654</v>
      </c>
      <c r="F361" s="23">
        <f t="shared" si="32"/>
        <v>85185.579677810398</v>
      </c>
    </row>
    <row r="362" spans="1:6" x14ac:dyDescent="0.2">
      <c r="A362" s="26">
        <f t="shared" si="33"/>
        <v>291</v>
      </c>
      <c r="B362" s="22">
        <f t="shared" si="34"/>
        <v>85185.579677810398</v>
      </c>
      <c r="C362" s="28">
        <f t="shared" si="35"/>
        <v>-8681.9681224442356</v>
      </c>
      <c r="D362" s="28">
        <f t="shared" si="30"/>
        <v>295.57371007622851</v>
      </c>
      <c r="E362" s="28">
        <f t="shared" si="31"/>
        <v>-8386.3944123680067</v>
      </c>
      <c r="F362" s="23">
        <f t="shared" si="32"/>
        <v>76799.185265442386</v>
      </c>
    </row>
    <row r="363" spans="1:6" x14ac:dyDescent="0.2">
      <c r="A363" s="26">
        <f t="shared" si="33"/>
        <v>292</v>
      </c>
      <c r="B363" s="22">
        <f t="shared" si="34"/>
        <v>76799.185265442386</v>
      </c>
      <c r="C363" s="28">
        <f t="shared" si="35"/>
        <v>-8681.9681224442356</v>
      </c>
      <c r="D363" s="28">
        <f t="shared" si="30"/>
        <v>266.47491518627771</v>
      </c>
      <c r="E363" s="28">
        <f t="shared" si="31"/>
        <v>-8415.4932072579577</v>
      </c>
      <c r="F363" s="23">
        <f t="shared" si="32"/>
        <v>68383.692058184432</v>
      </c>
    </row>
    <row r="364" spans="1:6" x14ac:dyDescent="0.2">
      <c r="A364" s="26">
        <f t="shared" si="33"/>
        <v>293</v>
      </c>
      <c r="B364" s="22">
        <f t="shared" si="34"/>
        <v>68383.692058184432</v>
      </c>
      <c r="C364" s="28">
        <f t="shared" si="35"/>
        <v>-8681.9681224442356</v>
      </c>
      <c r="D364" s="28">
        <f t="shared" si="30"/>
        <v>237.27515439579662</v>
      </c>
      <c r="E364" s="28">
        <f t="shared" si="31"/>
        <v>-8444.6929680484391</v>
      </c>
      <c r="F364" s="23">
        <f t="shared" si="32"/>
        <v>59938.999090135992</v>
      </c>
    </row>
    <row r="365" spans="1:6" x14ac:dyDescent="0.2">
      <c r="A365" s="26">
        <f t="shared" si="33"/>
        <v>294</v>
      </c>
      <c r="B365" s="22">
        <f t="shared" si="34"/>
        <v>59938.999090135992</v>
      </c>
      <c r="C365" s="28">
        <f t="shared" si="35"/>
        <v>-8681.9681224442356</v>
      </c>
      <c r="D365" s="28">
        <f t="shared" si="30"/>
        <v>207.97407737711319</v>
      </c>
      <c r="E365" s="28">
        <f t="shared" si="31"/>
        <v>-8473.994045067122</v>
      </c>
      <c r="F365" s="23">
        <f t="shared" si="32"/>
        <v>51465.005045068872</v>
      </c>
    </row>
    <row r="366" spans="1:6" x14ac:dyDescent="0.2">
      <c r="A366" s="26">
        <f t="shared" si="33"/>
        <v>295</v>
      </c>
      <c r="B366" s="22">
        <f t="shared" si="34"/>
        <v>51465.005045068872</v>
      </c>
      <c r="C366" s="28">
        <f t="shared" si="35"/>
        <v>-8681.9681224442356</v>
      </c>
      <c r="D366" s="28">
        <f t="shared" si="30"/>
        <v>178.57133258700182</v>
      </c>
      <c r="E366" s="28">
        <f t="shared" si="31"/>
        <v>-8503.3967898572337</v>
      </c>
      <c r="F366" s="23">
        <f t="shared" si="32"/>
        <v>42961.608255211642</v>
      </c>
    </row>
    <row r="367" spans="1:6" x14ac:dyDescent="0.2">
      <c r="A367" s="26">
        <f t="shared" si="33"/>
        <v>296</v>
      </c>
      <c r="B367" s="22">
        <f t="shared" si="34"/>
        <v>42961.608255211642</v>
      </c>
      <c r="C367" s="28">
        <f t="shared" si="35"/>
        <v>-8681.9681224442356</v>
      </c>
      <c r="D367" s="28">
        <f t="shared" si="30"/>
        <v>149.06656726246544</v>
      </c>
      <c r="E367" s="28">
        <f t="shared" si="31"/>
        <v>-8532.9015551817702</v>
      </c>
      <c r="F367" s="23">
        <f t="shared" si="32"/>
        <v>34428.70670002987</v>
      </c>
    </row>
    <row r="368" spans="1:6" x14ac:dyDescent="0.2">
      <c r="A368" s="26">
        <f t="shared" si="33"/>
        <v>297</v>
      </c>
      <c r="B368" s="22">
        <f t="shared" si="34"/>
        <v>34428.70670002987</v>
      </c>
      <c r="C368" s="28">
        <f t="shared" si="35"/>
        <v>-8681.9681224442356</v>
      </c>
      <c r="D368" s="28">
        <f t="shared" si="30"/>
        <v>119.45942741650313</v>
      </c>
      <c r="E368" s="28">
        <f t="shared" si="31"/>
        <v>-8562.5086950277328</v>
      </c>
      <c r="F368" s="23">
        <f t="shared" si="32"/>
        <v>25866.198005002138</v>
      </c>
    </row>
    <row r="369" spans="1:6" x14ac:dyDescent="0.2">
      <c r="A369" s="26">
        <f t="shared" si="33"/>
        <v>298</v>
      </c>
      <c r="B369" s="22">
        <f t="shared" si="34"/>
        <v>25866.198005002138</v>
      </c>
      <c r="C369" s="28">
        <f t="shared" si="35"/>
        <v>-8681.9681224442356</v>
      </c>
      <c r="D369" s="28">
        <f t="shared" si="30"/>
        <v>89.749557833863392</v>
      </c>
      <c r="E369" s="28">
        <f t="shared" si="31"/>
        <v>-8592.2185646103717</v>
      </c>
      <c r="F369" s="23">
        <f t="shared" si="32"/>
        <v>17273.979440391766</v>
      </c>
    </row>
    <row r="370" spans="1:6" x14ac:dyDescent="0.2">
      <c r="A370" s="26">
        <f t="shared" si="33"/>
        <v>299</v>
      </c>
      <c r="B370" s="22">
        <f t="shared" si="34"/>
        <v>17273.979440391766</v>
      </c>
      <c r="C370" s="28">
        <f t="shared" si="35"/>
        <v>-8681.9681224442356</v>
      </c>
      <c r="D370" s="28">
        <f t="shared" si="30"/>
        <v>59.936602066782172</v>
      </c>
      <c r="E370" s="28">
        <f t="shared" si="31"/>
        <v>-8622.0315203774535</v>
      </c>
      <c r="F370" s="23">
        <f t="shared" si="32"/>
        <v>8651.9479200143123</v>
      </c>
    </row>
    <row r="371" spans="1:6" x14ac:dyDescent="0.2">
      <c r="A371" s="27">
        <f t="shared" si="33"/>
        <v>300</v>
      </c>
      <c r="B371" s="24">
        <f t="shared" si="34"/>
        <v>8651.9479200143123</v>
      </c>
      <c r="C371" s="29">
        <f t="shared" si="35"/>
        <v>-8681.9681224442356</v>
      </c>
      <c r="D371" s="29">
        <f t="shared" si="30"/>
        <v>30.020202430706416</v>
      </c>
      <c r="E371" s="29">
        <f t="shared" si="31"/>
        <v>-8651.9479200135283</v>
      </c>
      <c r="F371" s="25">
        <f t="shared" si="32"/>
        <v>7.8398443292826414E-10</v>
      </c>
    </row>
  </sheetData>
  <mergeCells count="6">
    <mergeCell ref="A70:F70"/>
    <mergeCell ref="A3:B3"/>
    <mergeCell ref="A27:H27"/>
    <mergeCell ref="C28:H28"/>
    <mergeCell ref="A44:G44"/>
    <mergeCell ref="A57:G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2C9E-9EDA-4F2B-9361-78D64AA8D317}">
  <dimension ref="A1:H371"/>
  <sheetViews>
    <sheetView showGridLines="0" tabSelected="1" workbookViewId="0">
      <selection activeCell="G62" sqref="G62"/>
    </sheetView>
  </sheetViews>
  <sheetFormatPr defaultRowHeight="15" x14ac:dyDescent="0.2"/>
  <cols>
    <col min="1" max="1" width="37.53125" customWidth="1"/>
    <col min="2" max="7" width="13.98828125" customWidth="1"/>
    <col min="8" max="8" width="11.97265625" customWidth="1"/>
  </cols>
  <sheetData>
    <row r="1" spans="1:7" ht="23.25" x14ac:dyDescent="0.3">
      <c r="A1" s="30" t="s">
        <v>47</v>
      </c>
    </row>
    <row r="3" spans="1:7" x14ac:dyDescent="0.2">
      <c r="A3" s="127" t="s">
        <v>25</v>
      </c>
      <c r="B3" s="129"/>
      <c r="D3" t="s">
        <v>78</v>
      </c>
      <c r="F3" s="122">
        <f>+$B$34</f>
        <v>168096</v>
      </c>
    </row>
    <row r="4" spans="1:7" x14ac:dyDescent="0.2">
      <c r="A4" s="55" t="s">
        <v>40</v>
      </c>
      <c r="B4" s="56" t="s">
        <v>71</v>
      </c>
      <c r="D4" t="s">
        <v>79</v>
      </c>
      <c r="F4" s="124">
        <f>1%*F3</f>
        <v>1680.96</v>
      </c>
    </row>
    <row r="5" spans="1:7" x14ac:dyDescent="0.2">
      <c r="A5" s="76" t="s">
        <v>22</v>
      </c>
      <c r="B5" s="78">
        <v>2685000</v>
      </c>
      <c r="D5" t="s">
        <v>80</v>
      </c>
      <c r="F5" s="123">
        <f>F3-F4</f>
        <v>166415.04000000001</v>
      </c>
    </row>
    <row r="6" spans="1:7" x14ac:dyDescent="0.2">
      <c r="A6" s="3" t="s">
        <v>62</v>
      </c>
      <c r="B6" s="4">
        <f>+C36</f>
        <v>120940.42079999999</v>
      </c>
      <c r="D6" t="s">
        <v>81</v>
      </c>
      <c r="E6" s="2"/>
      <c r="F6" s="124">
        <v>0</v>
      </c>
    </row>
    <row r="7" spans="1:7" x14ac:dyDescent="0.2">
      <c r="A7" s="3" t="s">
        <v>41</v>
      </c>
      <c r="B7" s="81">
        <f>B6/B5</f>
        <v>4.5042987262569827E-2</v>
      </c>
      <c r="D7" t="s">
        <v>82</v>
      </c>
      <c r="E7" s="2"/>
      <c r="F7" s="123">
        <f>F5</f>
        <v>166415.04000000001</v>
      </c>
    </row>
    <row r="8" spans="1:7" x14ac:dyDescent="0.2">
      <c r="A8" s="3" t="s">
        <v>12</v>
      </c>
      <c r="B8" s="4">
        <v>2675000</v>
      </c>
      <c r="D8" t="s">
        <v>83</v>
      </c>
      <c r="E8" s="2"/>
      <c r="F8" s="125">
        <f>51142</f>
        <v>51142</v>
      </c>
    </row>
    <row r="9" spans="1:7" x14ac:dyDescent="0.2">
      <c r="A9" s="3" t="s">
        <v>11</v>
      </c>
      <c r="B9" s="7">
        <f>B6/B8</f>
        <v>4.5211372261682238E-2</v>
      </c>
      <c r="D9" t="s">
        <v>8</v>
      </c>
      <c r="E9" s="2"/>
      <c r="F9" s="123">
        <f>F7-F8</f>
        <v>115273.04000000001</v>
      </c>
    </row>
    <row r="10" spans="1:7" x14ac:dyDescent="0.2">
      <c r="A10" s="3" t="s">
        <v>58</v>
      </c>
      <c r="B10" s="4">
        <f>0.02*B8</f>
        <v>53500</v>
      </c>
      <c r="E10" s="2"/>
    </row>
    <row r="11" spans="1:7" x14ac:dyDescent="0.2">
      <c r="A11" s="76" t="s">
        <v>34</v>
      </c>
      <c r="B11" s="79">
        <v>0.7</v>
      </c>
      <c r="E11" s="2"/>
    </row>
    <row r="12" spans="1:7" x14ac:dyDescent="0.2">
      <c r="A12" s="3" t="s">
        <v>35</v>
      </c>
      <c r="B12" s="4">
        <f>B11*B8</f>
        <v>1872499.9999999998</v>
      </c>
    </row>
    <row r="13" spans="1:7" x14ac:dyDescent="0.2">
      <c r="A13" s="76" t="s">
        <v>13</v>
      </c>
      <c r="B13" s="80">
        <v>3.5000000000000003E-2</v>
      </c>
      <c r="E13" t="s">
        <v>73</v>
      </c>
      <c r="F13" t="s">
        <v>74</v>
      </c>
      <c r="G13" s="121" t="s">
        <v>76</v>
      </c>
    </row>
    <row r="14" spans="1:7" x14ac:dyDescent="0.2">
      <c r="A14" s="3" t="s">
        <v>42</v>
      </c>
      <c r="B14" s="21">
        <f>NOMINAL(EFFECT(B13,2),12)/12</f>
        <v>2.8956239661273031E-3</v>
      </c>
      <c r="D14" t="s">
        <v>72</v>
      </c>
      <c r="E14" s="85">
        <f>B11</f>
        <v>0.7</v>
      </c>
      <c r="F14" s="86">
        <f>B13</f>
        <v>3.5000000000000003E-2</v>
      </c>
      <c r="G14" s="84"/>
    </row>
    <row r="15" spans="1:7" x14ac:dyDescent="0.2">
      <c r="A15" s="76" t="s">
        <v>43</v>
      </c>
      <c r="B15" s="78">
        <v>25</v>
      </c>
      <c r="D15" t="s">
        <v>75</v>
      </c>
      <c r="E15" s="87">
        <f>1-E14</f>
        <v>0.30000000000000004</v>
      </c>
      <c r="F15" s="84">
        <v>0.12839999999999999</v>
      </c>
      <c r="G15" s="84"/>
    </row>
    <row r="16" spans="1:7" x14ac:dyDescent="0.2">
      <c r="A16" s="3" t="s">
        <v>67</v>
      </c>
      <c r="B16" s="4">
        <f>B8-B12+B10</f>
        <v>856000.00000000023</v>
      </c>
      <c r="E16" s="84"/>
      <c r="F16" s="84">
        <f>(E14*F14)+(E15*F15)</f>
        <v>6.3019999999999993E-2</v>
      </c>
      <c r="G16" s="84">
        <f>B21+0.02</f>
        <v>6.3E-2</v>
      </c>
    </row>
    <row r="17" spans="1:8" x14ac:dyDescent="0.2">
      <c r="A17" s="3" t="s">
        <v>23</v>
      </c>
      <c r="B17" s="5">
        <v>0.5</v>
      </c>
      <c r="E17" s="2"/>
    </row>
    <row r="18" spans="1:8" x14ac:dyDescent="0.2">
      <c r="A18" s="3" t="s">
        <v>24</v>
      </c>
      <c r="B18" s="5">
        <v>0.5</v>
      </c>
    </row>
    <row r="19" spans="1:8" x14ac:dyDescent="0.2">
      <c r="A19" s="3" t="s">
        <v>68</v>
      </c>
      <c r="B19" s="4">
        <f>B17*B16</f>
        <v>428000.00000000012</v>
      </c>
    </row>
    <row r="20" spans="1:8" x14ac:dyDescent="0.2">
      <c r="A20" s="3" t="s">
        <v>69</v>
      </c>
      <c r="B20" s="4">
        <f>B18*B16</f>
        <v>428000.00000000012</v>
      </c>
    </row>
    <row r="21" spans="1:8" x14ac:dyDescent="0.2">
      <c r="A21" s="76" t="s">
        <v>37</v>
      </c>
      <c r="B21" s="77">
        <v>4.2999999999999997E-2</v>
      </c>
    </row>
    <row r="22" spans="1:8" x14ac:dyDescent="0.2">
      <c r="A22" s="3" t="s">
        <v>59</v>
      </c>
      <c r="B22" s="135">
        <v>0.04</v>
      </c>
      <c r="C22" t="s">
        <v>86</v>
      </c>
      <c r="E22" t="s">
        <v>77</v>
      </c>
      <c r="G22" s="2"/>
    </row>
    <row r="23" spans="1:8" x14ac:dyDescent="0.2">
      <c r="A23" s="3" t="s">
        <v>38</v>
      </c>
      <c r="B23" s="82">
        <f>6.3%</f>
        <v>6.3E-2</v>
      </c>
      <c r="G23" s="2"/>
    </row>
    <row r="24" spans="1:8" x14ac:dyDescent="0.2">
      <c r="A24" s="6" t="s">
        <v>39</v>
      </c>
      <c r="B24" s="89">
        <f>F15</f>
        <v>0.12839999999999999</v>
      </c>
      <c r="G24" s="2"/>
    </row>
    <row r="25" spans="1:8" x14ac:dyDescent="0.2">
      <c r="G25" s="2"/>
    </row>
    <row r="27" spans="1:8" x14ac:dyDescent="0.2">
      <c r="A27" s="127" t="s">
        <v>26</v>
      </c>
      <c r="B27" s="128"/>
      <c r="C27" s="128"/>
      <c r="D27" s="128"/>
      <c r="E27" s="128"/>
      <c r="F27" s="128"/>
      <c r="G27" s="128"/>
      <c r="H27" s="129"/>
    </row>
    <row r="28" spans="1:8" x14ac:dyDescent="0.2">
      <c r="A28" s="3"/>
      <c r="B28" s="52" t="s">
        <v>20</v>
      </c>
      <c r="C28" s="131" t="s">
        <v>21</v>
      </c>
      <c r="D28" s="132"/>
      <c r="E28" s="132"/>
      <c r="F28" s="132"/>
      <c r="G28" s="132"/>
      <c r="H28" s="133"/>
    </row>
    <row r="29" spans="1:8" x14ac:dyDescent="0.2">
      <c r="A29" s="3"/>
      <c r="B29" s="11" t="s">
        <v>19</v>
      </c>
      <c r="C29" s="11" t="s">
        <v>0</v>
      </c>
      <c r="D29" s="11" t="s">
        <v>1</v>
      </c>
      <c r="E29" s="11" t="s">
        <v>2</v>
      </c>
      <c r="F29" s="11" t="s">
        <v>3</v>
      </c>
      <c r="G29" s="11" t="s">
        <v>4</v>
      </c>
      <c r="H29" s="11" t="s">
        <v>57</v>
      </c>
    </row>
    <row r="30" spans="1:8" x14ac:dyDescent="0.2">
      <c r="A30" s="3"/>
      <c r="B30" s="12"/>
      <c r="C30" s="12"/>
      <c r="D30" s="12"/>
      <c r="E30" s="16"/>
      <c r="F30" s="16"/>
      <c r="G30" s="16"/>
      <c r="H30" s="16"/>
    </row>
    <row r="31" spans="1:8" x14ac:dyDescent="0.2">
      <c r="A31" s="3" t="s">
        <v>64</v>
      </c>
      <c r="B31" s="12"/>
      <c r="C31" s="72">
        <v>0.04</v>
      </c>
      <c r="D31" s="72">
        <v>0.04</v>
      </c>
      <c r="E31" s="72">
        <v>0.04</v>
      </c>
      <c r="F31" s="72">
        <v>0.04</v>
      </c>
      <c r="G31" s="72">
        <v>0.04</v>
      </c>
      <c r="H31" s="72">
        <v>0.04</v>
      </c>
    </row>
    <row r="32" spans="1:8" x14ac:dyDescent="0.2">
      <c r="A32" s="3" t="s">
        <v>65</v>
      </c>
      <c r="B32" s="12"/>
      <c r="C32" s="72">
        <v>0.02</v>
      </c>
      <c r="D32" s="72">
        <v>0.02</v>
      </c>
      <c r="E32" s="72">
        <v>0.02</v>
      </c>
      <c r="F32" s="72">
        <v>0.02</v>
      </c>
      <c r="G32" s="72">
        <v>0.02</v>
      </c>
      <c r="H32" s="72">
        <v>0.02</v>
      </c>
    </row>
    <row r="33" spans="1:8" x14ac:dyDescent="0.2">
      <c r="A33" s="3"/>
      <c r="B33" s="12"/>
      <c r="C33" s="12"/>
      <c r="D33" s="12"/>
      <c r="E33" s="12"/>
      <c r="F33" s="12"/>
      <c r="G33" s="12"/>
      <c r="H33" s="12"/>
    </row>
    <row r="34" spans="1:8" x14ac:dyDescent="0.2">
      <c r="A34" s="3" t="s">
        <v>6</v>
      </c>
      <c r="B34" s="13">
        <v>168096</v>
      </c>
      <c r="C34" s="13">
        <f t="shared" ref="C34:H35" si="0">B34*(1+C31)</f>
        <v>174819.84</v>
      </c>
      <c r="D34" s="13">
        <f t="shared" si="0"/>
        <v>181812.6336</v>
      </c>
      <c r="E34" s="13">
        <f t="shared" si="0"/>
        <v>189085.13894400001</v>
      </c>
      <c r="F34" s="13">
        <f t="shared" si="0"/>
        <v>196648.54450176001</v>
      </c>
      <c r="G34" s="13">
        <f t="shared" si="0"/>
        <v>204514.48628183041</v>
      </c>
      <c r="H34" s="13">
        <f t="shared" si="0"/>
        <v>212695.06573310363</v>
      </c>
    </row>
    <row r="35" spans="1:8" x14ac:dyDescent="0.2">
      <c r="A35" s="3" t="s">
        <v>7</v>
      </c>
      <c r="B35" s="13">
        <f>F4+F8</f>
        <v>52822.96</v>
      </c>
      <c r="C35" s="14">
        <f t="shared" si="0"/>
        <v>53879.419199999997</v>
      </c>
      <c r="D35" s="14">
        <f t="shared" si="0"/>
        <v>54957.007583999999</v>
      </c>
      <c r="E35" s="14">
        <f t="shared" si="0"/>
        <v>56056.147735680002</v>
      </c>
      <c r="F35" s="14">
        <f t="shared" si="0"/>
        <v>57177.270690393605</v>
      </c>
      <c r="G35" s="14">
        <f t="shared" si="0"/>
        <v>58320.816104201476</v>
      </c>
      <c r="H35" s="14">
        <f t="shared" si="0"/>
        <v>59487.232426285504</v>
      </c>
    </row>
    <row r="36" spans="1:8" x14ac:dyDescent="0.2">
      <c r="A36" s="3" t="s">
        <v>8</v>
      </c>
      <c r="B36" s="71">
        <f>B34-B35</f>
        <v>115273.04000000001</v>
      </c>
      <c r="C36" s="13">
        <f t="shared" ref="C36:H36" si="1">+C34-C35</f>
        <v>120940.42079999999</v>
      </c>
      <c r="D36" s="13">
        <f t="shared" si="1"/>
        <v>126855.62601599999</v>
      </c>
      <c r="E36" s="13">
        <f t="shared" si="1"/>
        <v>133028.99120832002</v>
      </c>
      <c r="F36" s="13">
        <f t="shared" si="1"/>
        <v>139471.27381136641</v>
      </c>
      <c r="G36" s="13">
        <f t="shared" si="1"/>
        <v>146193.67017762893</v>
      </c>
      <c r="H36" s="13">
        <f t="shared" si="1"/>
        <v>153207.83330681812</v>
      </c>
    </row>
    <row r="37" spans="1:8" x14ac:dyDescent="0.2">
      <c r="A37" s="3" t="s">
        <v>66</v>
      </c>
      <c r="B37" s="13"/>
      <c r="C37" s="13"/>
      <c r="D37" s="13"/>
      <c r="E37" s="13"/>
      <c r="F37" s="13"/>
      <c r="G37" s="13"/>
      <c r="H37" s="13"/>
    </row>
    <row r="38" spans="1:8" x14ac:dyDescent="0.2">
      <c r="A38" s="3" t="s">
        <v>9</v>
      </c>
      <c r="B38" s="13"/>
      <c r="C38" s="14">
        <f>$C$72*12</f>
        <v>-112186.04368277565</v>
      </c>
      <c r="D38" s="14">
        <f>$C$72*12</f>
        <v>-112186.04368277565</v>
      </c>
      <c r="E38" s="14">
        <f>$C$72*12</f>
        <v>-112186.04368277565</v>
      </c>
      <c r="F38" s="14">
        <f>$C$72*12</f>
        <v>-112186.04368277565</v>
      </c>
      <c r="G38" s="14">
        <f>$C$72*12</f>
        <v>-112186.04368277565</v>
      </c>
      <c r="H38" s="14"/>
    </row>
    <row r="39" spans="1:8" x14ac:dyDescent="0.2">
      <c r="A39" s="6" t="s">
        <v>10</v>
      </c>
      <c r="B39" s="14">
        <f>B36</f>
        <v>115273.04000000001</v>
      </c>
      <c r="C39" s="14">
        <f>+C36-C37+C38</f>
        <v>8754.3771172243432</v>
      </c>
      <c r="D39" s="14">
        <f t="shared" ref="D39:H39" si="2">+D36-D37+D38</f>
        <v>14669.582333224345</v>
      </c>
      <c r="E39" s="14">
        <f t="shared" si="2"/>
        <v>20842.947525544369</v>
      </c>
      <c r="F39" s="14">
        <f t="shared" si="2"/>
        <v>27285.23012859076</v>
      </c>
      <c r="G39" s="14">
        <f t="shared" si="2"/>
        <v>34007.626494853277</v>
      </c>
      <c r="H39" s="14">
        <f t="shared" si="2"/>
        <v>153207.83330681812</v>
      </c>
    </row>
    <row r="42" spans="1:8" x14ac:dyDescent="0.2">
      <c r="D42" s="1"/>
    </row>
    <row r="44" spans="1:8" x14ac:dyDescent="0.2">
      <c r="A44" s="130" t="s">
        <v>33</v>
      </c>
      <c r="B44" s="130"/>
      <c r="C44" s="130"/>
      <c r="D44" s="130"/>
      <c r="E44" s="130"/>
      <c r="F44" s="130"/>
      <c r="G44" s="130"/>
    </row>
    <row r="45" spans="1:8" x14ac:dyDescent="0.2">
      <c r="A45" s="17"/>
      <c r="B45" s="20" t="s">
        <v>5</v>
      </c>
      <c r="C45" s="15" t="s">
        <v>0</v>
      </c>
      <c r="D45" s="15" t="s">
        <v>1</v>
      </c>
      <c r="E45" s="15" t="s">
        <v>2</v>
      </c>
      <c r="F45" s="15" t="s">
        <v>3</v>
      </c>
      <c r="G45" s="15" t="s">
        <v>4</v>
      </c>
    </row>
    <row r="46" spans="1:8" x14ac:dyDescent="0.2">
      <c r="A46" s="57" t="s">
        <v>70</v>
      </c>
      <c r="B46" s="4">
        <f>-B8-B10</f>
        <v>-2728500</v>
      </c>
      <c r="C46" s="58"/>
      <c r="D46" s="58"/>
      <c r="E46" s="58"/>
      <c r="F46" s="58"/>
      <c r="G46" s="58"/>
    </row>
    <row r="47" spans="1:8" x14ac:dyDescent="0.2">
      <c r="A47" s="13" t="s">
        <v>10</v>
      </c>
      <c r="B47" s="13"/>
      <c r="C47" s="13">
        <f>C39-C38</f>
        <v>120940.42079999999</v>
      </c>
      <c r="D47" s="13">
        <f>D39-D38</f>
        <v>126855.62601599999</v>
      </c>
      <c r="E47" s="13">
        <f>E39-E38</f>
        <v>133028.99120832002</v>
      </c>
      <c r="F47" s="13">
        <f>F39-F38</f>
        <v>139471.27381136641</v>
      </c>
      <c r="G47" s="13">
        <f>G39-G38</f>
        <v>146193.67017762893</v>
      </c>
    </row>
    <row r="48" spans="1:8" x14ac:dyDescent="0.2">
      <c r="A48" s="14" t="s">
        <v>27</v>
      </c>
      <c r="B48" s="14"/>
      <c r="C48" s="14"/>
      <c r="D48" s="14"/>
      <c r="E48" s="14"/>
      <c r="F48" s="8"/>
      <c r="G48" s="8">
        <f>(H36/$B$21)*(1-B22)</f>
        <v>3420453.952896405</v>
      </c>
    </row>
    <row r="49" spans="1:7" x14ac:dyDescent="0.2">
      <c r="A49" s="14"/>
      <c r="B49" s="14">
        <f t="shared" ref="B49:G49" si="3">SUM(B46:B48)</f>
        <v>-2728500</v>
      </c>
      <c r="C49" s="14">
        <f t="shared" si="3"/>
        <v>120940.42079999999</v>
      </c>
      <c r="D49" s="14">
        <f t="shared" si="3"/>
        <v>126855.62601599999</v>
      </c>
      <c r="E49" s="14">
        <f t="shared" si="3"/>
        <v>133028.99120832002</v>
      </c>
      <c r="F49" s="14">
        <f t="shared" si="3"/>
        <v>139471.27381136641</v>
      </c>
      <c r="G49" s="14">
        <f t="shared" si="3"/>
        <v>3566647.6230740338</v>
      </c>
    </row>
    <row r="52" spans="1:7" x14ac:dyDescent="0.2">
      <c r="A52" s="18" t="s">
        <v>30</v>
      </c>
      <c r="B52" s="19">
        <f>IRR(B49:G49)</f>
        <v>9.0764350140147387E-2</v>
      </c>
    </row>
    <row r="53" spans="1:7" x14ac:dyDescent="0.2">
      <c r="A53" s="18" t="s">
        <v>31</v>
      </c>
      <c r="B53" s="91">
        <f>NPV(B23,C49:G49)+B49</f>
        <v>345330.11802432174</v>
      </c>
    </row>
    <row r="57" spans="1:7" x14ac:dyDescent="0.2">
      <c r="A57" s="130" t="s">
        <v>32</v>
      </c>
      <c r="B57" s="130"/>
      <c r="C57" s="130"/>
      <c r="D57" s="130"/>
      <c r="E57" s="130"/>
      <c r="F57" s="130"/>
      <c r="G57" s="130"/>
    </row>
    <row r="58" spans="1:7" x14ac:dyDescent="0.2">
      <c r="A58" s="17"/>
      <c r="B58" s="20" t="s">
        <v>5</v>
      </c>
      <c r="C58" s="15" t="s">
        <v>0</v>
      </c>
      <c r="D58" s="15" t="s">
        <v>1</v>
      </c>
      <c r="E58" s="15" t="s">
        <v>2</v>
      </c>
      <c r="F58" s="15" t="s">
        <v>3</v>
      </c>
      <c r="G58" s="15" t="s">
        <v>4</v>
      </c>
    </row>
    <row r="59" spans="1:7" x14ac:dyDescent="0.2">
      <c r="A59" t="s">
        <v>70</v>
      </c>
      <c r="B59" s="71">
        <f>-B8-B10</f>
        <v>-2728500</v>
      </c>
      <c r="C59" s="13"/>
      <c r="D59" s="13"/>
      <c r="E59" s="13"/>
      <c r="F59" s="13"/>
      <c r="G59" s="13"/>
    </row>
    <row r="60" spans="1:7" x14ac:dyDescent="0.2">
      <c r="A60" s="69" t="s">
        <v>10</v>
      </c>
      <c r="B60" s="13">
        <f>B12</f>
        <v>1872499.9999999998</v>
      </c>
      <c r="C60" s="13" cm="1">
        <f t="array" ref="C60:G60">C39:G39</f>
        <v>8754.3771172243432</v>
      </c>
      <c r="D60" s="13">
        <v>14669.582333224345</v>
      </c>
      <c r="E60" s="13">
        <v>20842.947525544369</v>
      </c>
      <c r="F60" s="4">
        <v>27285.23012859076</v>
      </c>
      <c r="G60" s="4">
        <v>34007.626494853277</v>
      </c>
    </row>
    <row r="61" spans="1:7" x14ac:dyDescent="0.2">
      <c r="A61" s="70" t="s">
        <v>27</v>
      </c>
      <c r="B61" s="14"/>
      <c r="C61" s="14"/>
      <c r="D61" s="14"/>
      <c r="E61" s="14"/>
      <c r="F61" s="8"/>
      <c r="G61" s="8">
        <f>((H39/B21)*(1-B22))-F131</f>
        <v>1804861.2905049045</v>
      </c>
    </row>
    <row r="62" spans="1:7" x14ac:dyDescent="0.2">
      <c r="A62" s="14"/>
      <c r="B62" s="14">
        <f t="shared" ref="B62:G62" si="4">SUM(B59:B61)</f>
        <v>-856000.00000000023</v>
      </c>
      <c r="C62" s="14">
        <f t="shared" si="4"/>
        <v>8754.3771172243432</v>
      </c>
      <c r="D62" s="14">
        <f t="shared" si="4"/>
        <v>14669.582333224345</v>
      </c>
      <c r="E62" s="14">
        <f t="shared" si="4"/>
        <v>20842.947525544369</v>
      </c>
      <c r="F62" s="14">
        <f t="shared" si="4"/>
        <v>27285.23012859076</v>
      </c>
      <c r="G62" s="14">
        <f t="shared" si="4"/>
        <v>1838868.9169997578</v>
      </c>
    </row>
    <row r="65" spans="1:6" x14ac:dyDescent="0.2">
      <c r="A65" s="18" t="s">
        <v>28</v>
      </c>
      <c r="B65" s="19">
        <f>IRR(B62:G62)</f>
        <v>0.17787467866707773</v>
      </c>
    </row>
    <row r="66" spans="1:6" x14ac:dyDescent="0.2">
      <c r="A66" s="18" t="s">
        <v>29</v>
      </c>
      <c r="B66" s="40">
        <f>NPV(B24,C62:G62)+B62</f>
        <v>199776.09264071519</v>
      </c>
    </row>
    <row r="70" spans="1:6" x14ac:dyDescent="0.2">
      <c r="A70" s="127" t="s">
        <v>44</v>
      </c>
      <c r="B70" s="128"/>
      <c r="C70" s="128"/>
      <c r="D70" s="128"/>
      <c r="E70" s="128"/>
      <c r="F70" s="129"/>
    </row>
    <row r="71" spans="1:6" x14ac:dyDescent="0.2">
      <c r="A71" s="15" t="s">
        <v>14</v>
      </c>
      <c r="B71" s="9" t="s">
        <v>15</v>
      </c>
      <c r="C71" s="15" t="s">
        <v>14</v>
      </c>
      <c r="D71" s="15" t="s">
        <v>16</v>
      </c>
      <c r="E71" s="15" t="s">
        <v>17</v>
      </c>
      <c r="F71" s="10" t="s">
        <v>18</v>
      </c>
    </row>
    <row r="72" spans="1:6" x14ac:dyDescent="0.2">
      <c r="A72" s="26">
        <v>1</v>
      </c>
      <c r="B72" s="22">
        <f>+B12</f>
        <v>1872499.9999999998</v>
      </c>
      <c r="C72" s="28">
        <f>PMT($B$14,$B$15*12,B72,0)</f>
        <v>-9348.8369735646374</v>
      </c>
      <c r="D72" s="28">
        <f>+B72*$B$14</f>
        <v>5422.055876573374</v>
      </c>
      <c r="E72" s="28">
        <f>+C72+D72</f>
        <v>-3926.7810969912634</v>
      </c>
      <c r="F72" s="23">
        <f>+B72+E72</f>
        <v>1868573.2189030086</v>
      </c>
    </row>
    <row r="73" spans="1:6" x14ac:dyDescent="0.2">
      <c r="A73" s="26">
        <f t="shared" ref="A73:A136" si="5">1+A72</f>
        <v>2</v>
      </c>
      <c r="B73" s="22">
        <f t="shared" ref="B73:B136" si="6">F72</f>
        <v>1868573.2189030086</v>
      </c>
      <c r="C73" s="28">
        <f t="shared" ref="C73:C136" si="7">C72</f>
        <v>-9348.8369735646374</v>
      </c>
      <c r="D73" s="28">
        <f t="shared" ref="D72:D135" si="8">+B73*$B$14</f>
        <v>5410.6853951191915</v>
      </c>
      <c r="E73" s="28">
        <f t="shared" ref="E72:E135" si="9">+C73+D73</f>
        <v>-3938.1515784454459</v>
      </c>
      <c r="F73" s="23">
        <f t="shared" ref="F72:F135" si="10">+B73+E73</f>
        <v>1864635.0673245632</v>
      </c>
    </row>
    <row r="74" spans="1:6" x14ac:dyDescent="0.2">
      <c r="A74" s="26">
        <f t="shared" si="5"/>
        <v>3</v>
      </c>
      <c r="B74" s="22">
        <f t="shared" si="6"/>
        <v>1864635.0673245632</v>
      </c>
      <c r="C74" s="28">
        <f t="shared" si="7"/>
        <v>-9348.8369735646374</v>
      </c>
      <c r="D74" s="28">
        <f t="shared" si="8"/>
        <v>5399.2819890264027</v>
      </c>
      <c r="E74" s="28">
        <f t="shared" si="9"/>
        <v>-3949.5549845382347</v>
      </c>
      <c r="F74" s="23">
        <f t="shared" si="10"/>
        <v>1860685.5123400248</v>
      </c>
    </row>
    <row r="75" spans="1:6" x14ac:dyDescent="0.2">
      <c r="A75" s="26">
        <f t="shared" si="5"/>
        <v>4</v>
      </c>
      <c r="B75" s="22">
        <f t="shared" si="6"/>
        <v>1860685.5123400248</v>
      </c>
      <c r="C75" s="28">
        <f t="shared" si="7"/>
        <v>-9348.8369735646374</v>
      </c>
      <c r="D75" s="28">
        <f t="shared" si="8"/>
        <v>5387.8455629576356</v>
      </c>
      <c r="E75" s="28">
        <f t="shared" si="9"/>
        <v>-3960.9914106070019</v>
      </c>
      <c r="F75" s="23">
        <f t="shared" si="10"/>
        <v>1856724.5209294178</v>
      </c>
    </row>
    <row r="76" spans="1:6" x14ac:dyDescent="0.2">
      <c r="A76" s="26">
        <f t="shared" si="5"/>
        <v>5</v>
      </c>
      <c r="B76" s="22">
        <f t="shared" si="6"/>
        <v>1856724.5209294178</v>
      </c>
      <c r="C76" s="28">
        <f t="shared" si="7"/>
        <v>-9348.8369735646374</v>
      </c>
      <c r="D76" s="28">
        <f t="shared" si="8"/>
        <v>5376.3760212994575</v>
      </c>
      <c r="E76" s="28">
        <f t="shared" si="9"/>
        <v>-3972.4609522651799</v>
      </c>
      <c r="F76" s="23">
        <f t="shared" si="10"/>
        <v>1852752.0599771526</v>
      </c>
    </row>
    <row r="77" spans="1:6" x14ac:dyDescent="0.2">
      <c r="A77" s="26">
        <f t="shared" si="5"/>
        <v>6</v>
      </c>
      <c r="B77" s="22">
        <f t="shared" si="6"/>
        <v>1852752.0599771526</v>
      </c>
      <c r="C77" s="28">
        <f t="shared" si="7"/>
        <v>-9348.8369735646374</v>
      </c>
      <c r="D77" s="28">
        <f t="shared" si="8"/>
        <v>5364.8732681615738</v>
      </c>
      <c r="E77" s="28">
        <f t="shared" si="9"/>
        <v>-3983.9637054030636</v>
      </c>
      <c r="F77" s="23">
        <f t="shared" si="10"/>
        <v>1848768.0962717496</v>
      </c>
    </row>
    <row r="78" spans="1:6" x14ac:dyDescent="0.2">
      <c r="A78" s="26">
        <f t="shared" si="5"/>
        <v>7</v>
      </c>
      <c r="B78" s="22">
        <f t="shared" si="6"/>
        <v>1848768.0962717496</v>
      </c>
      <c r="C78" s="28">
        <f t="shared" si="7"/>
        <v>-9348.8369735646374</v>
      </c>
      <c r="D78" s="28">
        <f t="shared" si="8"/>
        <v>5353.3372073760274</v>
      </c>
      <c r="E78" s="28">
        <f t="shared" si="9"/>
        <v>-3995.49976618861</v>
      </c>
      <c r="F78" s="23">
        <f t="shared" si="10"/>
        <v>1844772.5965055609</v>
      </c>
    </row>
    <row r="79" spans="1:6" x14ac:dyDescent="0.2">
      <c r="A79" s="26">
        <f t="shared" si="5"/>
        <v>8</v>
      </c>
      <c r="B79" s="22">
        <f t="shared" si="6"/>
        <v>1844772.5965055609</v>
      </c>
      <c r="C79" s="28">
        <f t="shared" si="7"/>
        <v>-9348.8369735646374</v>
      </c>
      <c r="D79" s="28">
        <f t="shared" si="8"/>
        <v>5341.7677424963949</v>
      </c>
      <c r="E79" s="28">
        <f t="shared" si="9"/>
        <v>-4007.0692310682425</v>
      </c>
      <c r="F79" s="23">
        <f t="shared" si="10"/>
        <v>1840765.5272744927</v>
      </c>
    </row>
    <row r="80" spans="1:6" x14ac:dyDescent="0.2">
      <c r="A80" s="26">
        <f t="shared" si="5"/>
        <v>9</v>
      </c>
      <c r="B80" s="22">
        <f t="shared" si="6"/>
        <v>1840765.5272744927</v>
      </c>
      <c r="C80" s="28">
        <f t="shared" si="7"/>
        <v>-9348.8369735646374</v>
      </c>
      <c r="D80" s="28">
        <f t="shared" si="8"/>
        <v>5330.1647767969826</v>
      </c>
      <c r="E80" s="28">
        <f t="shared" si="9"/>
        <v>-4018.6721967676549</v>
      </c>
      <c r="F80" s="23">
        <f t="shared" si="10"/>
        <v>1836746.8550777249</v>
      </c>
    </row>
    <row r="81" spans="1:6" x14ac:dyDescent="0.2">
      <c r="A81" s="26">
        <f t="shared" si="5"/>
        <v>10</v>
      </c>
      <c r="B81" s="22">
        <f t="shared" si="6"/>
        <v>1836746.8550777249</v>
      </c>
      <c r="C81" s="28">
        <f t="shared" si="7"/>
        <v>-9348.8369735646374</v>
      </c>
      <c r="D81" s="28">
        <f t="shared" si="8"/>
        <v>5318.5282132720122</v>
      </c>
      <c r="E81" s="28">
        <f t="shared" si="9"/>
        <v>-4030.3087602926253</v>
      </c>
      <c r="F81" s="23">
        <f t="shared" si="10"/>
        <v>1832716.5463174323</v>
      </c>
    </row>
    <row r="82" spans="1:6" x14ac:dyDescent="0.2">
      <c r="A82" s="26">
        <f t="shared" si="5"/>
        <v>11</v>
      </c>
      <c r="B82" s="22">
        <f t="shared" si="6"/>
        <v>1832716.5463174323</v>
      </c>
      <c r="C82" s="28">
        <f t="shared" si="7"/>
        <v>-9348.8369735646374</v>
      </c>
      <c r="D82" s="28">
        <f t="shared" si="8"/>
        <v>5306.8579546348165</v>
      </c>
      <c r="E82" s="28">
        <f t="shared" si="9"/>
        <v>-4041.979018929821</v>
      </c>
      <c r="F82" s="23">
        <f t="shared" si="10"/>
        <v>1828674.5672985024</v>
      </c>
    </row>
    <row r="83" spans="1:6" x14ac:dyDescent="0.2">
      <c r="A83" s="26">
        <f t="shared" si="5"/>
        <v>12</v>
      </c>
      <c r="B83" s="22">
        <f t="shared" si="6"/>
        <v>1828674.5672985024</v>
      </c>
      <c r="C83" s="28">
        <f t="shared" si="7"/>
        <v>-9348.8369735646374</v>
      </c>
      <c r="D83" s="28">
        <f t="shared" si="8"/>
        <v>5295.1539033170193</v>
      </c>
      <c r="E83" s="28">
        <f t="shared" si="9"/>
        <v>-4053.6830702476182</v>
      </c>
      <c r="F83" s="23">
        <f t="shared" si="10"/>
        <v>1824620.8842282549</v>
      </c>
    </row>
    <row r="84" spans="1:6" x14ac:dyDescent="0.2">
      <c r="A84" s="26">
        <f t="shared" si="5"/>
        <v>13</v>
      </c>
      <c r="B84" s="22">
        <f t="shared" si="6"/>
        <v>1824620.8842282549</v>
      </c>
      <c r="C84" s="28">
        <f t="shared" si="7"/>
        <v>-9348.8369735646374</v>
      </c>
      <c r="D84" s="28">
        <f t="shared" si="8"/>
        <v>5283.4159614677264</v>
      </c>
      <c r="E84" s="28">
        <f t="shared" si="9"/>
        <v>-4065.421012096911</v>
      </c>
      <c r="F84" s="23">
        <f t="shared" si="10"/>
        <v>1820555.4632161581</v>
      </c>
    </row>
    <row r="85" spans="1:6" x14ac:dyDescent="0.2">
      <c r="A85" s="26">
        <f t="shared" si="5"/>
        <v>14</v>
      </c>
      <c r="B85" s="22">
        <f t="shared" si="6"/>
        <v>1820555.4632161581</v>
      </c>
      <c r="C85" s="28">
        <f t="shared" si="7"/>
        <v>-9348.8369735646374</v>
      </c>
      <c r="D85" s="28">
        <f t="shared" si="8"/>
        <v>5271.6440309527015</v>
      </c>
      <c r="E85" s="28">
        <f t="shared" si="9"/>
        <v>-4077.1929426119359</v>
      </c>
      <c r="F85" s="23">
        <f t="shared" si="10"/>
        <v>1816478.2702735462</v>
      </c>
    </row>
    <row r="86" spans="1:6" x14ac:dyDescent="0.2">
      <c r="A86" s="26">
        <f t="shared" si="5"/>
        <v>15</v>
      </c>
      <c r="B86" s="22">
        <f t="shared" si="6"/>
        <v>1816478.2702735462</v>
      </c>
      <c r="C86" s="28">
        <f t="shared" si="7"/>
        <v>-9348.8369735646374</v>
      </c>
      <c r="D86" s="28">
        <f t="shared" si="8"/>
        <v>5259.8380133535493</v>
      </c>
      <c r="E86" s="28">
        <f t="shared" si="9"/>
        <v>-4088.9989602110882</v>
      </c>
      <c r="F86" s="23">
        <f t="shared" si="10"/>
        <v>1812389.271313335</v>
      </c>
    </row>
    <row r="87" spans="1:6" x14ac:dyDescent="0.2">
      <c r="A87" s="26">
        <f t="shared" si="5"/>
        <v>16</v>
      </c>
      <c r="B87" s="22">
        <f t="shared" si="6"/>
        <v>1812389.271313335</v>
      </c>
      <c r="C87" s="28">
        <f t="shared" si="7"/>
        <v>-9348.8369735646374</v>
      </c>
      <c r="D87" s="28">
        <f t="shared" si="8"/>
        <v>5247.9978099668924</v>
      </c>
      <c r="E87" s="28">
        <f t="shared" si="9"/>
        <v>-4100.839163597745</v>
      </c>
      <c r="F87" s="23">
        <f t="shared" si="10"/>
        <v>1808288.4321497374</v>
      </c>
    </row>
    <row r="88" spans="1:6" x14ac:dyDescent="0.2">
      <c r="A88" s="26">
        <f t="shared" si="5"/>
        <v>17</v>
      </c>
      <c r="B88" s="22">
        <f t="shared" si="6"/>
        <v>1808288.4321497374</v>
      </c>
      <c r="C88" s="28">
        <f t="shared" si="7"/>
        <v>-9348.8369735646374</v>
      </c>
      <c r="D88" s="28">
        <f t="shared" si="8"/>
        <v>5236.123321803545</v>
      </c>
      <c r="E88" s="28">
        <f t="shared" si="9"/>
        <v>-4112.7136517610925</v>
      </c>
      <c r="F88" s="23">
        <f t="shared" si="10"/>
        <v>1804175.7184979762</v>
      </c>
    </row>
    <row r="89" spans="1:6" x14ac:dyDescent="0.2">
      <c r="A89" s="26">
        <f t="shared" si="5"/>
        <v>18</v>
      </c>
      <c r="B89" s="22">
        <f t="shared" si="6"/>
        <v>1804175.7184979762</v>
      </c>
      <c r="C89" s="28">
        <f t="shared" si="7"/>
        <v>-9348.8369735646374</v>
      </c>
      <c r="D89" s="28">
        <f t="shared" si="8"/>
        <v>5224.2144495876864</v>
      </c>
      <c r="E89" s="28">
        <f t="shared" si="9"/>
        <v>-4124.622523976951</v>
      </c>
      <c r="F89" s="23">
        <f t="shared" si="10"/>
        <v>1800051.0959739992</v>
      </c>
    </row>
    <row r="90" spans="1:6" x14ac:dyDescent="0.2">
      <c r="A90" s="26">
        <f t="shared" si="5"/>
        <v>19</v>
      </c>
      <c r="B90" s="22">
        <f t="shared" si="6"/>
        <v>1800051.0959739992</v>
      </c>
      <c r="C90" s="28">
        <f t="shared" si="7"/>
        <v>-9348.8369735646374</v>
      </c>
      <c r="D90" s="28">
        <f t="shared" si="8"/>
        <v>5212.2710937560305</v>
      </c>
      <c r="E90" s="28">
        <f t="shared" si="9"/>
        <v>-4136.565879808607</v>
      </c>
      <c r="F90" s="23">
        <f t="shared" si="10"/>
        <v>1795914.5300941907</v>
      </c>
    </row>
    <row r="91" spans="1:6" x14ac:dyDescent="0.2">
      <c r="A91" s="26">
        <f t="shared" si="5"/>
        <v>20</v>
      </c>
      <c r="B91" s="22">
        <f t="shared" si="6"/>
        <v>1795914.5300941907</v>
      </c>
      <c r="C91" s="28">
        <f t="shared" si="7"/>
        <v>-9348.8369735646374</v>
      </c>
      <c r="D91" s="28">
        <f t="shared" si="8"/>
        <v>5200.2931544569929</v>
      </c>
      <c r="E91" s="28">
        <f t="shared" si="9"/>
        <v>-4148.5438191076446</v>
      </c>
      <c r="F91" s="23">
        <f t="shared" si="10"/>
        <v>1791765.9862750832</v>
      </c>
    </row>
    <row r="92" spans="1:6" x14ac:dyDescent="0.2">
      <c r="A92" s="26">
        <f t="shared" si="5"/>
        <v>21</v>
      </c>
      <c r="B92" s="22">
        <f t="shared" si="6"/>
        <v>1791765.9862750832</v>
      </c>
      <c r="C92" s="28">
        <f t="shared" si="7"/>
        <v>-9348.8369735646374</v>
      </c>
      <c r="D92" s="28">
        <f t="shared" si="8"/>
        <v>5188.2805315498554</v>
      </c>
      <c r="E92" s="28">
        <f t="shared" si="9"/>
        <v>-4160.5564420147821</v>
      </c>
      <c r="F92" s="23">
        <f t="shared" si="10"/>
        <v>1787605.4298330683</v>
      </c>
    </row>
    <row r="93" spans="1:6" x14ac:dyDescent="0.2">
      <c r="A93" s="26">
        <f t="shared" si="5"/>
        <v>22</v>
      </c>
      <c r="B93" s="22">
        <f t="shared" si="6"/>
        <v>1787605.4298330683</v>
      </c>
      <c r="C93" s="28">
        <f t="shared" si="7"/>
        <v>-9348.8369735646374</v>
      </c>
      <c r="D93" s="28">
        <f t="shared" si="8"/>
        <v>5176.2331246039312</v>
      </c>
      <c r="E93" s="28">
        <f t="shared" si="9"/>
        <v>-4172.6038489607063</v>
      </c>
      <c r="F93" s="23">
        <f t="shared" si="10"/>
        <v>1783432.8259841076</v>
      </c>
    </row>
    <row r="94" spans="1:6" x14ac:dyDescent="0.2">
      <c r="A94" s="26">
        <f t="shared" si="5"/>
        <v>23</v>
      </c>
      <c r="B94" s="22">
        <f t="shared" si="6"/>
        <v>1783432.8259841076</v>
      </c>
      <c r="C94" s="28">
        <f t="shared" si="7"/>
        <v>-9348.8369735646374</v>
      </c>
      <c r="D94" s="28">
        <f t="shared" si="8"/>
        <v>5164.1508328977261</v>
      </c>
      <c r="E94" s="28">
        <f t="shared" si="9"/>
        <v>-4184.6861406669113</v>
      </c>
      <c r="F94" s="23">
        <f t="shared" si="10"/>
        <v>1779248.1398434406</v>
      </c>
    </row>
    <row r="95" spans="1:6" x14ac:dyDescent="0.2">
      <c r="A95" s="26">
        <f t="shared" si="5"/>
        <v>24</v>
      </c>
      <c r="B95" s="22">
        <f t="shared" si="6"/>
        <v>1779248.1398434406</v>
      </c>
      <c r="C95" s="28">
        <f t="shared" si="7"/>
        <v>-9348.8369735646374</v>
      </c>
      <c r="D95" s="28">
        <f t="shared" si="8"/>
        <v>5152.0335554180901</v>
      </c>
      <c r="E95" s="28">
        <f t="shared" si="9"/>
        <v>-4196.8034181465473</v>
      </c>
      <c r="F95" s="23">
        <f t="shared" si="10"/>
        <v>1775051.3364252942</v>
      </c>
    </row>
    <row r="96" spans="1:6" x14ac:dyDescent="0.2">
      <c r="A96" s="26">
        <f t="shared" si="5"/>
        <v>25</v>
      </c>
      <c r="B96" s="22">
        <f t="shared" si="6"/>
        <v>1775051.3364252942</v>
      </c>
      <c r="C96" s="28">
        <f t="shared" si="7"/>
        <v>-9348.8369735646374</v>
      </c>
      <c r="D96" s="28">
        <f t="shared" si="8"/>
        <v>5139.8811908593798</v>
      </c>
      <c r="E96" s="28">
        <f t="shared" si="9"/>
        <v>-4208.9557827052577</v>
      </c>
      <c r="F96" s="23">
        <f t="shared" si="10"/>
        <v>1770842.3806425889</v>
      </c>
    </row>
    <row r="97" spans="1:6" x14ac:dyDescent="0.2">
      <c r="A97" s="26">
        <f t="shared" si="5"/>
        <v>26</v>
      </c>
      <c r="B97" s="22">
        <f t="shared" si="6"/>
        <v>1770842.3806425889</v>
      </c>
      <c r="C97" s="28">
        <f t="shared" si="7"/>
        <v>-9348.8369735646374</v>
      </c>
      <c r="D97" s="28">
        <f t="shared" si="8"/>
        <v>5127.6936376226085</v>
      </c>
      <c r="E97" s="28">
        <f t="shared" si="9"/>
        <v>-4221.1433359420289</v>
      </c>
      <c r="F97" s="23">
        <f t="shared" si="10"/>
        <v>1766621.237306647</v>
      </c>
    </row>
    <row r="98" spans="1:6" x14ac:dyDescent="0.2">
      <c r="A98" s="26">
        <f t="shared" si="5"/>
        <v>27</v>
      </c>
      <c r="B98" s="22">
        <f t="shared" si="6"/>
        <v>1766621.237306647</v>
      </c>
      <c r="C98" s="28">
        <f t="shared" si="7"/>
        <v>-9348.8369735646374</v>
      </c>
      <c r="D98" s="28">
        <f t="shared" si="8"/>
        <v>5115.4707938145966</v>
      </c>
      <c r="E98" s="28">
        <f t="shared" si="9"/>
        <v>-4233.3661797500408</v>
      </c>
      <c r="F98" s="23">
        <f t="shared" si="10"/>
        <v>1762387.8711268969</v>
      </c>
    </row>
    <row r="99" spans="1:6" x14ac:dyDescent="0.2">
      <c r="A99" s="26">
        <f t="shared" si="5"/>
        <v>28</v>
      </c>
      <c r="B99" s="22">
        <f t="shared" si="6"/>
        <v>1762387.8711268969</v>
      </c>
      <c r="C99" s="28">
        <f t="shared" si="7"/>
        <v>-9348.8369735646374</v>
      </c>
      <c r="D99" s="28">
        <f t="shared" si="8"/>
        <v>5103.2125572471195</v>
      </c>
      <c r="E99" s="28">
        <f t="shared" si="9"/>
        <v>-4245.6244163175179</v>
      </c>
      <c r="F99" s="23">
        <f t="shared" si="10"/>
        <v>1758142.2467105794</v>
      </c>
    </row>
    <row r="100" spans="1:6" x14ac:dyDescent="0.2">
      <c r="A100" s="26">
        <f t="shared" si="5"/>
        <v>29</v>
      </c>
      <c r="B100" s="22">
        <f t="shared" si="6"/>
        <v>1758142.2467105794</v>
      </c>
      <c r="C100" s="28">
        <f t="shared" si="7"/>
        <v>-9348.8369735646374</v>
      </c>
      <c r="D100" s="28">
        <f t="shared" si="8"/>
        <v>5090.9188254360552</v>
      </c>
      <c r="E100" s="28">
        <f t="shared" si="9"/>
        <v>-4257.9181481285823</v>
      </c>
      <c r="F100" s="23">
        <f t="shared" si="10"/>
        <v>1753884.3285624508</v>
      </c>
    </row>
    <row r="101" spans="1:6" x14ac:dyDescent="0.2">
      <c r="A101" s="26">
        <f t="shared" si="5"/>
        <v>30</v>
      </c>
      <c r="B101" s="22">
        <f t="shared" si="6"/>
        <v>1753884.3285624508</v>
      </c>
      <c r="C101" s="28">
        <f t="shared" si="7"/>
        <v>-9348.8369735646374</v>
      </c>
      <c r="D101" s="28">
        <f t="shared" si="8"/>
        <v>5078.5894956005259</v>
      </c>
      <c r="E101" s="28">
        <f t="shared" si="9"/>
        <v>-4270.2474779641116</v>
      </c>
      <c r="F101" s="23">
        <f t="shared" si="10"/>
        <v>1749614.0810844868</v>
      </c>
    </row>
    <row r="102" spans="1:6" x14ac:dyDescent="0.2">
      <c r="A102" s="26">
        <f t="shared" si="5"/>
        <v>31</v>
      </c>
      <c r="B102" s="22">
        <f t="shared" si="6"/>
        <v>1749614.0810844868</v>
      </c>
      <c r="C102" s="28">
        <f t="shared" si="7"/>
        <v>-9348.8369735646374</v>
      </c>
      <c r="D102" s="28">
        <f t="shared" si="8"/>
        <v>5066.2244646620384</v>
      </c>
      <c r="E102" s="28">
        <f t="shared" si="9"/>
        <v>-4282.6125089025991</v>
      </c>
      <c r="F102" s="23">
        <f t="shared" si="10"/>
        <v>1745331.4685755842</v>
      </c>
    </row>
    <row r="103" spans="1:6" x14ac:dyDescent="0.2">
      <c r="A103" s="26">
        <f t="shared" si="5"/>
        <v>32</v>
      </c>
      <c r="B103" s="22">
        <f t="shared" si="6"/>
        <v>1745331.4685755842</v>
      </c>
      <c r="C103" s="28">
        <f t="shared" si="7"/>
        <v>-9348.8369735646374</v>
      </c>
      <c r="D103" s="28">
        <f t="shared" si="8"/>
        <v>5053.8236292436241</v>
      </c>
      <c r="E103" s="28">
        <f t="shared" si="9"/>
        <v>-4295.0133443210134</v>
      </c>
      <c r="F103" s="23">
        <f t="shared" si="10"/>
        <v>1741036.4552312633</v>
      </c>
    </row>
    <row r="104" spans="1:6" x14ac:dyDescent="0.2">
      <c r="A104" s="26">
        <f t="shared" si="5"/>
        <v>33</v>
      </c>
      <c r="B104" s="22">
        <f t="shared" si="6"/>
        <v>1741036.4552312633</v>
      </c>
      <c r="C104" s="28">
        <f t="shared" si="7"/>
        <v>-9348.8369735646374</v>
      </c>
      <c r="D104" s="28">
        <f t="shared" si="8"/>
        <v>5041.3868856689714</v>
      </c>
      <c r="E104" s="28">
        <f t="shared" si="9"/>
        <v>-4307.450087895666</v>
      </c>
      <c r="F104" s="23">
        <f t="shared" si="10"/>
        <v>1736729.0051433677</v>
      </c>
    </row>
    <row r="105" spans="1:6" x14ac:dyDescent="0.2">
      <c r="A105" s="26">
        <f t="shared" si="5"/>
        <v>34</v>
      </c>
      <c r="B105" s="22">
        <f t="shared" si="6"/>
        <v>1736729.0051433677</v>
      </c>
      <c r="C105" s="28">
        <f t="shared" si="7"/>
        <v>-9348.8369735646374</v>
      </c>
      <c r="D105" s="28">
        <f t="shared" si="8"/>
        <v>5028.914129961564</v>
      </c>
      <c r="E105" s="28">
        <f t="shared" si="9"/>
        <v>-4319.9228436030735</v>
      </c>
      <c r="F105" s="23">
        <f t="shared" si="10"/>
        <v>1732409.0822997645</v>
      </c>
    </row>
    <row r="106" spans="1:6" x14ac:dyDescent="0.2">
      <c r="A106" s="26">
        <f t="shared" si="5"/>
        <v>35</v>
      </c>
      <c r="B106" s="22">
        <f t="shared" si="6"/>
        <v>1732409.0822997645</v>
      </c>
      <c r="C106" s="28">
        <f t="shared" si="7"/>
        <v>-9348.8369735646374</v>
      </c>
      <c r="D106" s="28">
        <f t="shared" si="8"/>
        <v>5016.4052578438059</v>
      </c>
      <c r="E106" s="28">
        <f t="shared" si="9"/>
        <v>-4332.4317157208316</v>
      </c>
      <c r="F106" s="23">
        <f t="shared" si="10"/>
        <v>1728076.6505840437</v>
      </c>
    </row>
    <row r="107" spans="1:6" x14ac:dyDescent="0.2">
      <c r="A107" s="26">
        <f t="shared" si="5"/>
        <v>36</v>
      </c>
      <c r="B107" s="22">
        <f t="shared" si="6"/>
        <v>1728076.6505840437</v>
      </c>
      <c r="C107" s="28">
        <f t="shared" si="7"/>
        <v>-9348.8369735646374</v>
      </c>
      <c r="D107" s="28">
        <f t="shared" si="8"/>
        <v>5003.8601647361547</v>
      </c>
      <c r="E107" s="28">
        <f t="shared" si="9"/>
        <v>-4344.9768088284827</v>
      </c>
      <c r="F107" s="23">
        <f t="shared" si="10"/>
        <v>1723731.6737752152</v>
      </c>
    </row>
    <row r="108" spans="1:6" x14ac:dyDescent="0.2">
      <c r="A108" s="26">
        <f t="shared" si="5"/>
        <v>37</v>
      </c>
      <c r="B108" s="22">
        <f t="shared" si="6"/>
        <v>1723731.6737752152</v>
      </c>
      <c r="C108" s="28">
        <f t="shared" si="7"/>
        <v>-9348.8369735646374</v>
      </c>
      <c r="D108" s="28">
        <f t="shared" si="8"/>
        <v>4991.2787457562436</v>
      </c>
      <c r="E108" s="28">
        <f t="shared" si="9"/>
        <v>-4357.5582278083939</v>
      </c>
      <c r="F108" s="23">
        <f t="shared" si="10"/>
        <v>1719374.1155474067</v>
      </c>
    </row>
    <row r="109" spans="1:6" x14ac:dyDescent="0.2">
      <c r="A109" s="26">
        <f t="shared" si="5"/>
        <v>38</v>
      </c>
      <c r="B109" s="22">
        <f t="shared" si="6"/>
        <v>1719374.1155474067</v>
      </c>
      <c r="C109" s="28">
        <f t="shared" si="7"/>
        <v>-9348.8369735646374</v>
      </c>
      <c r="D109" s="28">
        <f t="shared" si="8"/>
        <v>4978.660895718006</v>
      </c>
      <c r="E109" s="28">
        <f t="shared" si="9"/>
        <v>-4370.1760778466314</v>
      </c>
      <c r="F109" s="23">
        <f t="shared" si="10"/>
        <v>1715003.93946956</v>
      </c>
    </row>
    <row r="110" spans="1:6" x14ac:dyDescent="0.2">
      <c r="A110" s="26">
        <f t="shared" si="5"/>
        <v>39</v>
      </c>
      <c r="B110" s="22">
        <f t="shared" si="6"/>
        <v>1715003.93946956</v>
      </c>
      <c r="C110" s="28">
        <f t="shared" si="7"/>
        <v>-9348.8369735646374</v>
      </c>
      <c r="D110" s="28">
        <f t="shared" si="8"/>
        <v>4966.006509130797</v>
      </c>
      <c r="E110" s="28">
        <f t="shared" si="9"/>
        <v>-4382.8304644338405</v>
      </c>
      <c r="F110" s="23">
        <f t="shared" si="10"/>
        <v>1710621.1090051262</v>
      </c>
    </row>
    <row r="111" spans="1:6" x14ac:dyDescent="0.2">
      <c r="A111" s="26">
        <f t="shared" si="5"/>
        <v>40</v>
      </c>
      <c r="B111" s="22">
        <f t="shared" si="6"/>
        <v>1710621.1090051262</v>
      </c>
      <c r="C111" s="28">
        <f t="shared" si="7"/>
        <v>-9348.8369735646374</v>
      </c>
      <c r="D111" s="28">
        <f t="shared" si="8"/>
        <v>4953.3154801985092</v>
      </c>
      <c r="E111" s="28">
        <f t="shared" si="9"/>
        <v>-4395.5214933661282</v>
      </c>
      <c r="F111" s="23">
        <f t="shared" si="10"/>
        <v>1706225.5875117599</v>
      </c>
    </row>
    <row r="112" spans="1:6" x14ac:dyDescent="0.2">
      <c r="A112" s="26">
        <f t="shared" si="5"/>
        <v>41</v>
      </c>
      <c r="B112" s="22">
        <f t="shared" si="6"/>
        <v>1706225.5875117599</v>
      </c>
      <c r="C112" s="28">
        <f t="shared" si="7"/>
        <v>-9348.8369735646374</v>
      </c>
      <c r="D112" s="28">
        <f t="shared" si="8"/>
        <v>4940.5877028186906</v>
      </c>
      <c r="E112" s="28">
        <f t="shared" si="9"/>
        <v>-4408.2492707459469</v>
      </c>
      <c r="F112" s="23">
        <f t="shared" si="10"/>
        <v>1701817.3382410139</v>
      </c>
    </row>
    <row r="113" spans="1:6" x14ac:dyDescent="0.2">
      <c r="A113" s="26">
        <f t="shared" si="5"/>
        <v>42</v>
      </c>
      <c r="B113" s="22">
        <f t="shared" si="6"/>
        <v>1701817.3382410139</v>
      </c>
      <c r="C113" s="28">
        <f t="shared" si="7"/>
        <v>-9348.8369735646374</v>
      </c>
      <c r="D113" s="28">
        <f t="shared" si="8"/>
        <v>4927.823070581655</v>
      </c>
      <c r="E113" s="28">
        <f t="shared" si="9"/>
        <v>-4421.0139029829825</v>
      </c>
      <c r="F113" s="23">
        <f t="shared" si="10"/>
        <v>1697396.324338031</v>
      </c>
    </row>
    <row r="114" spans="1:6" x14ac:dyDescent="0.2">
      <c r="A114" s="26">
        <f t="shared" si="5"/>
        <v>43</v>
      </c>
      <c r="B114" s="22">
        <f t="shared" si="6"/>
        <v>1697396.324338031</v>
      </c>
      <c r="C114" s="28">
        <f t="shared" si="7"/>
        <v>-9348.8369735646374</v>
      </c>
      <c r="D114" s="28">
        <f t="shared" si="8"/>
        <v>4915.0214767695952</v>
      </c>
      <c r="E114" s="28">
        <f t="shared" si="9"/>
        <v>-4433.8154967950422</v>
      </c>
      <c r="F114" s="23">
        <f t="shared" si="10"/>
        <v>1692962.5088412359</v>
      </c>
    </row>
    <row r="115" spans="1:6" x14ac:dyDescent="0.2">
      <c r="A115" s="26">
        <f t="shared" si="5"/>
        <v>44</v>
      </c>
      <c r="B115" s="22">
        <f t="shared" si="6"/>
        <v>1692962.5088412359</v>
      </c>
      <c r="C115" s="28">
        <f t="shared" si="7"/>
        <v>-9348.8369735646374</v>
      </c>
      <c r="D115" s="28">
        <f t="shared" si="8"/>
        <v>4902.1828143556886</v>
      </c>
      <c r="E115" s="28">
        <f t="shared" si="9"/>
        <v>-4446.6541592089488</v>
      </c>
      <c r="F115" s="23">
        <f t="shared" si="10"/>
        <v>1688515.8546820269</v>
      </c>
    </row>
    <row r="116" spans="1:6" x14ac:dyDescent="0.2">
      <c r="A116" s="26">
        <f t="shared" si="5"/>
        <v>45</v>
      </c>
      <c r="B116" s="22">
        <f t="shared" si="6"/>
        <v>1688515.8546820269</v>
      </c>
      <c r="C116" s="28">
        <f t="shared" si="7"/>
        <v>-9348.8369735646374</v>
      </c>
      <c r="D116" s="28">
        <f t="shared" si="8"/>
        <v>4889.306976003204</v>
      </c>
      <c r="E116" s="28">
        <f t="shared" si="9"/>
        <v>-4459.5299975614334</v>
      </c>
      <c r="F116" s="23">
        <f t="shared" si="10"/>
        <v>1684056.3246844655</v>
      </c>
    </row>
    <row r="117" spans="1:6" x14ac:dyDescent="0.2">
      <c r="A117" s="26">
        <f t="shared" si="5"/>
        <v>46</v>
      </c>
      <c r="B117" s="22">
        <f t="shared" si="6"/>
        <v>1684056.3246844655</v>
      </c>
      <c r="C117" s="28">
        <f t="shared" si="7"/>
        <v>-9348.8369735646374</v>
      </c>
      <c r="D117" s="28">
        <f t="shared" si="8"/>
        <v>4876.3938540646013</v>
      </c>
      <c r="E117" s="28">
        <f t="shared" si="9"/>
        <v>-4472.4431195000361</v>
      </c>
      <c r="F117" s="23">
        <f t="shared" si="10"/>
        <v>1679583.8815649655</v>
      </c>
    </row>
    <row r="118" spans="1:6" x14ac:dyDescent="0.2">
      <c r="A118" s="26">
        <f t="shared" si="5"/>
        <v>47</v>
      </c>
      <c r="B118" s="22">
        <f t="shared" si="6"/>
        <v>1679583.8815649655</v>
      </c>
      <c r="C118" s="28">
        <f t="shared" si="7"/>
        <v>-9348.8369735646374</v>
      </c>
      <c r="D118" s="28">
        <f t="shared" si="8"/>
        <v>4863.4433405806358</v>
      </c>
      <c r="E118" s="28">
        <f t="shared" si="9"/>
        <v>-4485.3936329840017</v>
      </c>
      <c r="F118" s="23">
        <f t="shared" si="10"/>
        <v>1675098.4879319814</v>
      </c>
    </row>
    <row r="119" spans="1:6" x14ac:dyDescent="0.2">
      <c r="A119" s="26">
        <f t="shared" si="5"/>
        <v>48</v>
      </c>
      <c r="B119" s="22">
        <f t="shared" si="6"/>
        <v>1675098.4879319814</v>
      </c>
      <c r="C119" s="28">
        <f t="shared" si="7"/>
        <v>-9348.8369735646374</v>
      </c>
      <c r="D119" s="28">
        <f t="shared" si="8"/>
        <v>4850.4553272794528</v>
      </c>
      <c r="E119" s="28">
        <f t="shared" si="9"/>
        <v>-4498.3816462851846</v>
      </c>
      <c r="F119" s="23">
        <f t="shared" si="10"/>
        <v>1670600.1062856962</v>
      </c>
    </row>
    <row r="120" spans="1:6" x14ac:dyDescent="0.2">
      <c r="A120" s="26">
        <f t="shared" si="5"/>
        <v>49</v>
      </c>
      <c r="B120" s="22">
        <f t="shared" si="6"/>
        <v>1670600.1062856962</v>
      </c>
      <c r="C120" s="28">
        <f t="shared" si="7"/>
        <v>-9348.8369735646374</v>
      </c>
      <c r="D120" s="28">
        <f t="shared" si="8"/>
        <v>4837.4297055756815</v>
      </c>
      <c r="E120" s="28">
        <f t="shared" si="9"/>
        <v>-4511.4072679889559</v>
      </c>
      <c r="F120" s="23">
        <f t="shared" si="10"/>
        <v>1666088.6990177073</v>
      </c>
    </row>
    <row r="121" spans="1:6" x14ac:dyDescent="0.2">
      <c r="A121" s="26">
        <f t="shared" si="5"/>
        <v>50</v>
      </c>
      <c r="B121" s="22">
        <f t="shared" si="6"/>
        <v>1666088.6990177073</v>
      </c>
      <c r="C121" s="28">
        <f t="shared" si="7"/>
        <v>-9348.8369735646374</v>
      </c>
      <c r="D121" s="28">
        <f t="shared" si="8"/>
        <v>4824.3663665695321</v>
      </c>
      <c r="E121" s="28">
        <f t="shared" si="9"/>
        <v>-4524.4706069951053</v>
      </c>
      <c r="F121" s="23">
        <f t="shared" si="10"/>
        <v>1661564.2284107122</v>
      </c>
    </row>
    <row r="122" spans="1:6" x14ac:dyDescent="0.2">
      <c r="A122" s="26">
        <f t="shared" si="5"/>
        <v>51</v>
      </c>
      <c r="B122" s="22">
        <f t="shared" si="6"/>
        <v>1661564.2284107122</v>
      </c>
      <c r="C122" s="28">
        <f t="shared" si="7"/>
        <v>-9348.8369735646374</v>
      </c>
      <c r="D122" s="28">
        <f t="shared" si="8"/>
        <v>4811.2652010458787</v>
      </c>
      <c r="E122" s="28">
        <f t="shared" si="9"/>
        <v>-4537.5717725187587</v>
      </c>
      <c r="F122" s="23">
        <f t="shared" si="10"/>
        <v>1657026.6566381934</v>
      </c>
    </row>
    <row r="123" spans="1:6" x14ac:dyDescent="0.2">
      <c r="A123" s="26">
        <f t="shared" si="5"/>
        <v>52</v>
      </c>
      <c r="B123" s="22">
        <f t="shared" si="6"/>
        <v>1657026.6566381934</v>
      </c>
      <c r="C123" s="28">
        <f t="shared" si="7"/>
        <v>-9348.8369735646374</v>
      </c>
      <c r="D123" s="28">
        <f t="shared" si="8"/>
        <v>4798.1260994733502</v>
      </c>
      <c r="E123" s="28">
        <f t="shared" si="9"/>
        <v>-4550.7108740912872</v>
      </c>
      <c r="F123" s="23">
        <f t="shared" si="10"/>
        <v>1652475.945764102</v>
      </c>
    </row>
    <row r="124" spans="1:6" x14ac:dyDescent="0.2">
      <c r="A124" s="26">
        <f t="shared" si="5"/>
        <v>53</v>
      </c>
      <c r="B124" s="22">
        <f t="shared" si="6"/>
        <v>1652475.945764102</v>
      </c>
      <c r="C124" s="28">
        <f t="shared" si="7"/>
        <v>-9348.8369735646374</v>
      </c>
      <c r="D124" s="28">
        <f t="shared" si="8"/>
        <v>4784.9489520034158</v>
      </c>
      <c r="E124" s="28">
        <f t="shared" si="9"/>
        <v>-4563.8880215612216</v>
      </c>
      <c r="F124" s="23">
        <f t="shared" si="10"/>
        <v>1647912.0577425407</v>
      </c>
    </row>
    <row r="125" spans="1:6" x14ac:dyDescent="0.2">
      <c r="A125" s="26">
        <f t="shared" si="5"/>
        <v>54</v>
      </c>
      <c r="B125" s="22">
        <f t="shared" si="6"/>
        <v>1647912.0577425407</v>
      </c>
      <c r="C125" s="28">
        <f t="shared" si="7"/>
        <v>-9348.8369735646374</v>
      </c>
      <c r="D125" s="28">
        <f t="shared" si="8"/>
        <v>4771.7336484694615</v>
      </c>
      <c r="E125" s="28">
        <f t="shared" si="9"/>
        <v>-4577.1033250951759</v>
      </c>
      <c r="F125" s="23">
        <f t="shared" si="10"/>
        <v>1643334.9544174455</v>
      </c>
    </row>
    <row r="126" spans="1:6" x14ac:dyDescent="0.2">
      <c r="A126" s="26">
        <f t="shared" si="5"/>
        <v>55</v>
      </c>
      <c r="B126" s="22">
        <f t="shared" si="6"/>
        <v>1643334.9544174455</v>
      </c>
      <c r="C126" s="28">
        <f t="shared" si="7"/>
        <v>-9348.8369735646374</v>
      </c>
      <c r="D126" s="28">
        <f t="shared" si="8"/>
        <v>4758.4800783858745</v>
      </c>
      <c r="E126" s="28">
        <f t="shared" si="9"/>
        <v>-4590.3568951787629</v>
      </c>
      <c r="F126" s="23">
        <f t="shared" si="10"/>
        <v>1638744.5975222667</v>
      </c>
    </row>
    <row r="127" spans="1:6" x14ac:dyDescent="0.2">
      <c r="A127" s="26">
        <f t="shared" si="5"/>
        <v>56</v>
      </c>
      <c r="B127" s="22">
        <f t="shared" si="6"/>
        <v>1638744.5975222667</v>
      </c>
      <c r="C127" s="28">
        <f t="shared" si="7"/>
        <v>-9348.8369735646374</v>
      </c>
      <c r="D127" s="28">
        <f t="shared" si="8"/>
        <v>4745.1881309471173</v>
      </c>
      <c r="E127" s="28">
        <f t="shared" si="9"/>
        <v>-4603.6488426175201</v>
      </c>
      <c r="F127" s="23">
        <f t="shared" si="10"/>
        <v>1634140.9486796493</v>
      </c>
    </row>
    <row r="128" spans="1:6" x14ac:dyDescent="0.2">
      <c r="A128" s="26">
        <f t="shared" si="5"/>
        <v>57</v>
      </c>
      <c r="B128" s="22">
        <f t="shared" si="6"/>
        <v>1634140.9486796493</v>
      </c>
      <c r="C128" s="28">
        <f t="shared" si="7"/>
        <v>-9348.8369735646374</v>
      </c>
      <c r="D128" s="28">
        <f t="shared" si="8"/>
        <v>4731.8576950267998</v>
      </c>
      <c r="E128" s="28">
        <f t="shared" si="9"/>
        <v>-4616.9792785378377</v>
      </c>
      <c r="F128" s="23">
        <f t="shared" si="10"/>
        <v>1629523.9694011114</v>
      </c>
    </row>
    <row r="129" spans="1:6" x14ac:dyDescent="0.2">
      <c r="A129" s="26">
        <f t="shared" si="5"/>
        <v>58</v>
      </c>
      <c r="B129" s="22">
        <f t="shared" si="6"/>
        <v>1629523.9694011114</v>
      </c>
      <c r="C129" s="28">
        <f t="shared" si="7"/>
        <v>-9348.8369735646374</v>
      </c>
      <c r="D129" s="28">
        <f t="shared" si="8"/>
        <v>4718.4886591767518</v>
      </c>
      <c r="E129" s="28">
        <f t="shared" si="9"/>
        <v>-4630.3483143878857</v>
      </c>
      <c r="F129" s="23">
        <f t="shared" si="10"/>
        <v>1624893.6210867234</v>
      </c>
    </row>
    <row r="130" spans="1:6" x14ac:dyDescent="0.2">
      <c r="A130" s="26">
        <f t="shared" si="5"/>
        <v>59</v>
      </c>
      <c r="B130" s="22">
        <f t="shared" si="6"/>
        <v>1624893.6210867234</v>
      </c>
      <c r="C130" s="28">
        <f t="shared" si="7"/>
        <v>-9348.8369735646374</v>
      </c>
      <c r="D130" s="28">
        <f t="shared" si="8"/>
        <v>4705.0809116260934</v>
      </c>
      <c r="E130" s="28">
        <f t="shared" si="9"/>
        <v>-4643.756061938544</v>
      </c>
      <c r="F130" s="23">
        <f t="shared" si="10"/>
        <v>1620249.8650247848</v>
      </c>
    </row>
    <row r="131" spans="1:6" x14ac:dyDescent="0.2">
      <c r="A131" s="26">
        <f t="shared" si="5"/>
        <v>60</v>
      </c>
      <c r="B131" s="22">
        <f t="shared" si="6"/>
        <v>1620249.8650247848</v>
      </c>
      <c r="C131" s="28">
        <f t="shared" si="7"/>
        <v>-9348.8369735646374</v>
      </c>
      <c r="D131" s="28">
        <f t="shared" si="8"/>
        <v>4691.634340280295</v>
      </c>
      <c r="E131" s="28">
        <f t="shared" si="9"/>
        <v>-4657.2026332843425</v>
      </c>
      <c r="F131" s="23">
        <f t="shared" si="10"/>
        <v>1615592.6623915005</v>
      </c>
    </row>
    <row r="132" spans="1:6" x14ac:dyDescent="0.2">
      <c r="A132" s="26">
        <f t="shared" si="5"/>
        <v>61</v>
      </c>
      <c r="B132" s="22">
        <f t="shared" si="6"/>
        <v>1615592.6623915005</v>
      </c>
      <c r="C132" s="28">
        <f t="shared" si="7"/>
        <v>-9348.8369735646374</v>
      </c>
      <c r="D132" s="28">
        <f t="shared" si="8"/>
        <v>4678.148832720246</v>
      </c>
      <c r="E132" s="28">
        <f t="shared" si="9"/>
        <v>-4670.6881408443915</v>
      </c>
      <c r="F132" s="23">
        <f t="shared" si="10"/>
        <v>1610921.9742506561</v>
      </c>
    </row>
    <row r="133" spans="1:6" x14ac:dyDescent="0.2">
      <c r="A133" s="26">
        <f t="shared" si="5"/>
        <v>62</v>
      </c>
      <c r="B133" s="22">
        <f t="shared" si="6"/>
        <v>1610921.9742506561</v>
      </c>
      <c r="C133" s="28">
        <f t="shared" si="7"/>
        <v>-9348.8369735646374</v>
      </c>
      <c r="D133" s="28">
        <f t="shared" si="8"/>
        <v>4664.6242762013098</v>
      </c>
      <c r="E133" s="28">
        <f t="shared" si="9"/>
        <v>-4684.2126973633276</v>
      </c>
      <c r="F133" s="23">
        <f t="shared" si="10"/>
        <v>1606237.7615532929</v>
      </c>
    </row>
    <row r="134" spans="1:6" x14ac:dyDescent="0.2">
      <c r="A134" s="26">
        <f t="shared" si="5"/>
        <v>63</v>
      </c>
      <c r="B134" s="22">
        <f t="shared" si="6"/>
        <v>1606237.7615532929</v>
      </c>
      <c r="C134" s="28">
        <f t="shared" si="7"/>
        <v>-9348.8369735646374</v>
      </c>
      <c r="D134" s="28">
        <f t="shared" si="8"/>
        <v>4651.0605576523876</v>
      </c>
      <c r="E134" s="28">
        <f t="shared" si="9"/>
        <v>-4697.7764159122498</v>
      </c>
      <c r="F134" s="23">
        <f t="shared" si="10"/>
        <v>1601539.9851373807</v>
      </c>
    </row>
    <row r="135" spans="1:6" x14ac:dyDescent="0.2">
      <c r="A135" s="26">
        <f t="shared" si="5"/>
        <v>64</v>
      </c>
      <c r="B135" s="22">
        <f t="shared" si="6"/>
        <v>1601539.9851373807</v>
      </c>
      <c r="C135" s="28">
        <f t="shared" si="7"/>
        <v>-9348.8369735646374</v>
      </c>
      <c r="D135" s="28">
        <f t="shared" si="8"/>
        <v>4637.4575636749641</v>
      </c>
      <c r="E135" s="28">
        <f t="shared" si="9"/>
        <v>-4711.3794098896733</v>
      </c>
      <c r="F135" s="23">
        <f t="shared" si="10"/>
        <v>1596828.605727491</v>
      </c>
    </row>
    <row r="136" spans="1:6" x14ac:dyDescent="0.2">
      <c r="A136" s="26">
        <f t="shared" si="5"/>
        <v>65</v>
      </c>
      <c r="B136" s="22">
        <f t="shared" si="6"/>
        <v>1596828.605727491</v>
      </c>
      <c r="C136" s="28">
        <f t="shared" si="7"/>
        <v>-9348.8369735646374</v>
      </c>
      <c r="D136" s="28">
        <f t="shared" ref="D136:D199" si="11">+B136*$B$14</f>
        <v>4623.8151805421694</v>
      </c>
      <c r="E136" s="28">
        <f t="shared" ref="E136:E199" si="12">+C136+D136</f>
        <v>-4725.021793022468</v>
      </c>
      <c r="F136" s="23">
        <f t="shared" ref="F136:F199" si="13">+B136+E136</f>
        <v>1592103.5839344685</v>
      </c>
    </row>
    <row r="137" spans="1:6" x14ac:dyDescent="0.2">
      <c r="A137" s="26">
        <f t="shared" ref="A137:A200" si="14">1+A136</f>
        <v>66</v>
      </c>
      <c r="B137" s="22">
        <f t="shared" ref="B137:B200" si="15">F136</f>
        <v>1592103.5839344685</v>
      </c>
      <c r="C137" s="28">
        <f t="shared" ref="C137:C200" si="16">C136</f>
        <v>-9348.8369735646374</v>
      </c>
      <c r="D137" s="28">
        <f t="shared" si="11"/>
        <v>4610.1332941978189</v>
      </c>
      <c r="E137" s="28">
        <f t="shared" si="12"/>
        <v>-4738.7036793668185</v>
      </c>
      <c r="F137" s="23">
        <f t="shared" si="13"/>
        <v>1587364.8802551017</v>
      </c>
    </row>
    <row r="138" spans="1:6" x14ac:dyDescent="0.2">
      <c r="A138" s="26">
        <f t="shared" si="14"/>
        <v>67</v>
      </c>
      <c r="B138" s="22">
        <f t="shared" si="15"/>
        <v>1587364.8802551017</v>
      </c>
      <c r="C138" s="28">
        <f t="shared" si="16"/>
        <v>-9348.8369735646374</v>
      </c>
      <c r="D138" s="28">
        <f t="shared" si="11"/>
        <v>4596.411790255469</v>
      </c>
      <c r="E138" s="28">
        <f t="shared" si="12"/>
        <v>-4752.4251833091685</v>
      </c>
      <c r="F138" s="23">
        <f t="shared" si="13"/>
        <v>1582612.4550717925</v>
      </c>
    </row>
    <row r="139" spans="1:6" x14ac:dyDescent="0.2">
      <c r="A139" s="26">
        <f t="shared" si="14"/>
        <v>68</v>
      </c>
      <c r="B139" s="22">
        <f t="shared" si="15"/>
        <v>1582612.4550717925</v>
      </c>
      <c r="C139" s="28">
        <f t="shared" si="16"/>
        <v>-9348.8369735646374</v>
      </c>
      <c r="D139" s="28">
        <f t="shared" si="11"/>
        <v>4582.6505539974523</v>
      </c>
      <c r="E139" s="28">
        <f t="shared" si="12"/>
        <v>-4766.1864195671851</v>
      </c>
      <c r="F139" s="23">
        <f t="shared" si="13"/>
        <v>1577846.2686522254</v>
      </c>
    </row>
    <row r="140" spans="1:6" x14ac:dyDescent="0.2">
      <c r="A140" s="26">
        <f t="shared" si="14"/>
        <v>69</v>
      </c>
      <c r="B140" s="22">
        <f t="shared" si="15"/>
        <v>1577846.2686522254</v>
      </c>
      <c r="C140" s="28">
        <f t="shared" si="16"/>
        <v>-9348.8369735646374</v>
      </c>
      <c r="D140" s="28">
        <f t="shared" si="11"/>
        <v>4568.8494703739234</v>
      </c>
      <c r="E140" s="28">
        <f t="shared" si="12"/>
        <v>-4779.9875031907141</v>
      </c>
      <c r="F140" s="23">
        <f t="shared" si="13"/>
        <v>1573066.2811490346</v>
      </c>
    </row>
    <row r="141" spans="1:6" x14ac:dyDescent="0.2">
      <c r="A141" s="26">
        <f t="shared" si="14"/>
        <v>70</v>
      </c>
      <c r="B141" s="22">
        <f t="shared" si="15"/>
        <v>1573066.2811490346</v>
      </c>
      <c r="C141" s="28">
        <f t="shared" si="16"/>
        <v>-9348.8369735646374</v>
      </c>
      <c r="D141" s="28">
        <f t="shared" si="11"/>
        <v>4555.008424001895</v>
      </c>
      <c r="E141" s="28">
        <f t="shared" si="12"/>
        <v>-4793.8285495627424</v>
      </c>
      <c r="F141" s="23">
        <f t="shared" si="13"/>
        <v>1568272.4525994719</v>
      </c>
    </row>
    <row r="142" spans="1:6" x14ac:dyDescent="0.2">
      <c r="A142" s="26">
        <f t="shared" si="14"/>
        <v>71</v>
      </c>
      <c r="B142" s="22">
        <f t="shared" si="15"/>
        <v>1568272.4525994719</v>
      </c>
      <c r="C142" s="28">
        <f t="shared" si="16"/>
        <v>-9348.8369735646374</v>
      </c>
      <c r="D142" s="28">
        <f t="shared" si="11"/>
        <v>4541.1272991642754</v>
      </c>
      <c r="E142" s="28">
        <f t="shared" si="12"/>
        <v>-4807.709674400362</v>
      </c>
      <c r="F142" s="23">
        <f t="shared" si="13"/>
        <v>1563464.7429250716</v>
      </c>
    </row>
    <row r="143" spans="1:6" x14ac:dyDescent="0.2">
      <c r="A143" s="26">
        <f t="shared" si="14"/>
        <v>72</v>
      </c>
      <c r="B143" s="22">
        <f t="shared" si="15"/>
        <v>1563464.7429250716</v>
      </c>
      <c r="C143" s="28">
        <f t="shared" si="16"/>
        <v>-9348.8369735646374</v>
      </c>
      <c r="D143" s="28">
        <f t="shared" si="11"/>
        <v>4527.2059798089003</v>
      </c>
      <c r="E143" s="28">
        <f t="shared" si="12"/>
        <v>-4821.6309937557371</v>
      </c>
      <c r="F143" s="23">
        <f t="shared" si="13"/>
        <v>1558643.1119313159</v>
      </c>
    </row>
    <row r="144" spans="1:6" x14ac:dyDescent="0.2">
      <c r="A144" s="26">
        <f t="shared" si="14"/>
        <v>73</v>
      </c>
      <c r="B144" s="22">
        <f t="shared" si="15"/>
        <v>1558643.1119313159</v>
      </c>
      <c r="C144" s="28">
        <f t="shared" si="16"/>
        <v>-9348.8369735646374</v>
      </c>
      <c r="D144" s="28">
        <f t="shared" si="11"/>
        <v>4513.2443495475591</v>
      </c>
      <c r="E144" s="28">
        <f t="shared" si="12"/>
        <v>-4835.5926240170784</v>
      </c>
      <c r="F144" s="23">
        <f t="shared" si="13"/>
        <v>1553807.5193072988</v>
      </c>
    </row>
    <row r="145" spans="1:6" x14ac:dyDescent="0.2">
      <c r="A145" s="26">
        <f t="shared" si="14"/>
        <v>74</v>
      </c>
      <c r="B145" s="22">
        <f t="shared" si="15"/>
        <v>1553807.5193072988</v>
      </c>
      <c r="C145" s="28">
        <f t="shared" si="16"/>
        <v>-9348.8369735646374</v>
      </c>
      <c r="D145" s="28">
        <f t="shared" si="11"/>
        <v>4499.2422916550267</v>
      </c>
      <c r="E145" s="28">
        <f t="shared" si="12"/>
        <v>-4849.5946819096107</v>
      </c>
      <c r="F145" s="23">
        <f t="shared" si="13"/>
        <v>1548957.9246253893</v>
      </c>
    </row>
    <row r="146" spans="1:6" x14ac:dyDescent="0.2">
      <c r="A146" s="26">
        <f t="shared" si="14"/>
        <v>75</v>
      </c>
      <c r="B146" s="22">
        <f t="shared" si="15"/>
        <v>1548957.9246253893</v>
      </c>
      <c r="C146" s="28">
        <f t="shared" si="16"/>
        <v>-9348.8369735646374</v>
      </c>
      <c r="D146" s="28">
        <f t="shared" si="11"/>
        <v>4485.1996890680857</v>
      </c>
      <c r="E146" s="28">
        <f t="shared" si="12"/>
        <v>-4863.6372844965517</v>
      </c>
      <c r="F146" s="23">
        <f t="shared" si="13"/>
        <v>1544094.2873408927</v>
      </c>
    </row>
    <row r="147" spans="1:6" x14ac:dyDescent="0.2">
      <c r="A147" s="26">
        <f t="shared" si="14"/>
        <v>76</v>
      </c>
      <c r="B147" s="22">
        <f t="shared" si="15"/>
        <v>1544094.2873408927</v>
      </c>
      <c r="C147" s="28">
        <f t="shared" si="16"/>
        <v>-9348.8369735646374</v>
      </c>
      <c r="D147" s="28">
        <f t="shared" si="11"/>
        <v>4471.1164243845469</v>
      </c>
      <c r="E147" s="28">
        <f t="shared" si="12"/>
        <v>-4877.7205491800905</v>
      </c>
      <c r="F147" s="23">
        <f t="shared" si="13"/>
        <v>1539216.5667917125</v>
      </c>
    </row>
    <row r="148" spans="1:6" x14ac:dyDescent="0.2">
      <c r="A148" s="26">
        <f t="shared" si="14"/>
        <v>77</v>
      </c>
      <c r="B148" s="22">
        <f t="shared" si="15"/>
        <v>1539216.5667917125</v>
      </c>
      <c r="C148" s="28">
        <f t="shared" si="16"/>
        <v>-9348.8369735646374</v>
      </c>
      <c r="D148" s="28">
        <f t="shared" si="11"/>
        <v>4456.9923798622694</v>
      </c>
      <c r="E148" s="28">
        <f t="shared" si="12"/>
        <v>-4891.844593702368</v>
      </c>
      <c r="F148" s="23">
        <f t="shared" si="13"/>
        <v>1534324.7221980102</v>
      </c>
    </row>
    <row r="149" spans="1:6" x14ac:dyDescent="0.2">
      <c r="A149" s="26">
        <f t="shared" si="14"/>
        <v>78</v>
      </c>
      <c r="B149" s="22">
        <f t="shared" si="15"/>
        <v>1534324.7221980102</v>
      </c>
      <c r="C149" s="28">
        <f t="shared" si="16"/>
        <v>-9348.8369735646374</v>
      </c>
      <c r="D149" s="28">
        <f t="shared" si="11"/>
        <v>4442.8274374181747</v>
      </c>
      <c r="E149" s="28">
        <f t="shared" si="12"/>
        <v>-4906.0095361464628</v>
      </c>
      <c r="F149" s="23">
        <f t="shared" si="13"/>
        <v>1529418.7126618638</v>
      </c>
    </row>
    <row r="150" spans="1:6" x14ac:dyDescent="0.2">
      <c r="A150" s="26">
        <f t="shared" si="14"/>
        <v>79</v>
      </c>
      <c r="B150" s="22">
        <f t="shared" si="15"/>
        <v>1529418.7126618638</v>
      </c>
      <c r="C150" s="28">
        <f t="shared" si="16"/>
        <v>-9348.8369735646374</v>
      </c>
      <c r="D150" s="28">
        <f t="shared" si="11"/>
        <v>4428.6214786272603</v>
      </c>
      <c r="E150" s="28">
        <f t="shared" si="12"/>
        <v>-4920.2154949373771</v>
      </c>
      <c r="F150" s="23">
        <f t="shared" si="13"/>
        <v>1524498.4971669265</v>
      </c>
    </row>
    <row r="151" spans="1:6" x14ac:dyDescent="0.2">
      <c r="A151" s="26">
        <f t="shared" si="14"/>
        <v>80</v>
      </c>
      <c r="B151" s="22">
        <f t="shared" si="15"/>
        <v>1524498.4971669265</v>
      </c>
      <c r="C151" s="28">
        <f t="shared" si="16"/>
        <v>-9348.8369735646374</v>
      </c>
      <c r="D151" s="28">
        <f t="shared" si="11"/>
        <v>4414.3743847216092</v>
      </c>
      <c r="E151" s="28">
        <f t="shared" si="12"/>
        <v>-4934.4625888430282</v>
      </c>
      <c r="F151" s="23">
        <f t="shared" si="13"/>
        <v>1519564.0345780835</v>
      </c>
    </row>
    <row r="152" spans="1:6" x14ac:dyDescent="0.2">
      <c r="A152" s="26">
        <f t="shared" si="14"/>
        <v>81</v>
      </c>
      <c r="B152" s="22">
        <f t="shared" si="15"/>
        <v>1519564.0345780835</v>
      </c>
      <c r="C152" s="28">
        <f t="shared" si="16"/>
        <v>-9348.8369735646374</v>
      </c>
      <c r="D152" s="28">
        <f t="shared" si="11"/>
        <v>4400.0860365893968</v>
      </c>
      <c r="E152" s="28">
        <f t="shared" si="12"/>
        <v>-4948.7509369752406</v>
      </c>
      <c r="F152" s="23">
        <f t="shared" si="13"/>
        <v>1514615.2836411083</v>
      </c>
    </row>
    <row r="153" spans="1:6" x14ac:dyDescent="0.2">
      <c r="A153" s="26">
        <f t="shared" si="14"/>
        <v>82</v>
      </c>
      <c r="B153" s="22">
        <f t="shared" si="15"/>
        <v>1514615.2836411083</v>
      </c>
      <c r="C153" s="28">
        <f t="shared" si="16"/>
        <v>-9348.8369735646374</v>
      </c>
      <c r="D153" s="28">
        <f t="shared" si="11"/>
        <v>4385.7563147738965</v>
      </c>
      <c r="E153" s="28">
        <f t="shared" si="12"/>
        <v>-4963.0806587907409</v>
      </c>
      <c r="F153" s="23">
        <f t="shared" si="13"/>
        <v>1509652.2029823177</v>
      </c>
    </row>
    <row r="154" spans="1:6" x14ac:dyDescent="0.2">
      <c r="A154" s="26">
        <f t="shared" si="14"/>
        <v>83</v>
      </c>
      <c r="B154" s="22">
        <f t="shared" si="15"/>
        <v>1509652.2029823177</v>
      </c>
      <c r="C154" s="28">
        <f t="shared" si="16"/>
        <v>-9348.8369735646374</v>
      </c>
      <c r="D154" s="28">
        <f t="shared" si="11"/>
        <v>4371.3850994724789</v>
      </c>
      <c r="E154" s="28">
        <f t="shared" si="12"/>
        <v>-4977.4518740921585</v>
      </c>
      <c r="F154" s="23">
        <f t="shared" si="13"/>
        <v>1504674.7511082254</v>
      </c>
    </row>
    <row r="155" spans="1:6" x14ac:dyDescent="0.2">
      <c r="A155" s="26">
        <f t="shared" si="14"/>
        <v>84</v>
      </c>
      <c r="B155" s="22">
        <f t="shared" si="15"/>
        <v>1504674.7511082254</v>
      </c>
      <c r="C155" s="28">
        <f t="shared" si="16"/>
        <v>-9348.8369735646374</v>
      </c>
      <c r="D155" s="28">
        <f t="shared" si="11"/>
        <v>4356.9722705356126</v>
      </c>
      <c r="E155" s="28">
        <f t="shared" si="12"/>
        <v>-4991.8647030290249</v>
      </c>
      <c r="F155" s="23">
        <f t="shared" si="13"/>
        <v>1499682.8864051965</v>
      </c>
    </row>
    <row r="156" spans="1:6" x14ac:dyDescent="0.2">
      <c r="A156" s="26">
        <f t="shared" si="14"/>
        <v>85</v>
      </c>
      <c r="B156" s="22">
        <f t="shared" si="15"/>
        <v>1499682.8864051965</v>
      </c>
      <c r="C156" s="28">
        <f t="shared" si="16"/>
        <v>-9348.8369735646374</v>
      </c>
      <c r="D156" s="28">
        <f t="shared" si="11"/>
        <v>4342.5177074658568</v>
      </c>
      <c r="E156" s="28">
        <f t="shared" si="12"/>
        <v>-5006.3192660987806</v>
      </c>
      <c r="F156" s="23">
        <f t="shared" si="13"/>
        <v>1494676.5671390977</v>
      </c>
    </row>
    <row r="157" spans="1:6" x14ac:dyDescent="0.2">
      <c r="A157" s="26">
        <f t="shared" si="14"/>
        <v>86</v>
      </c>
      <c r="B157" s="22">
        <f t="shared" si="15"/>
        <v>1494676.5671390977</v>
      </c>
      <c r="C157" s="28">
        <f t="shared" si="16"/>
        <v>-9348.8369735646374</v>
      </c>
      <c r="D157" s="28">
        <f t="shared" si="11"/>
        <v>4328.0212894168562</v>
      </c>
      <c r="E157" s="28">
        <f t="shared" si="12"/>
        <v>-5020.8156841477812</v>
      </c>
      <c r="F157" s="23">
        <f t="shared" si="13"/>
        <v>1489655.7514549498</v>
      </c>
    </row>
    <row r="158" spans="1:6" x14ac:dyDescent="0.2">
      <c r="A158" s="26">
        <f t="shared" si="14"/>
        <v>87</v>
      </c>
      <c r="B158" s="22">
        <f t="shared" si="15"/>
        <v>1489655.7514549498</v>
      </c>
      <c r="C158" s="28">
        <f t="shared" si="16"/>
        <v>-9348.8369735646374</v>
      </c>
      <c r="D158" s="28">
        <f t="shared" si="11"/>
        <v>4313.48289519233</v>
      </c>
      <c r="E158" s="28">
        <f t="shared" si="12"/>
        <v>-5035.3540783723074</v>
      </c>
      <c r="F158" s="23">
        <f t="shared" si="13"/>
        <v>1484620.3973765776</v>
      </c>
    </row>
    <row r="159" spans="1:6" x14ac:dyDescent="0.2">
      <c r="A159" s="26">
        <f t="shared" si="14"/>
        <v>88</v>
      </c>
      <c r="B159" s="22">
        <f t="shared" si="15"/>
        <v>1484620.3973765776</v>
      </c>
      <c r="C159" s="28">
        <f t="shared" si="16"/>
        <v>-9348.8369735646374</v>
      </c>
      <c r="D159" s="28">
        <f t="shared" si="11"/>
        <v>4298.9024032450588</v>
      </c>
      <c r="E159" s="28">
        <f t="shared" si="12"/>
        <v>-5049.9345703195786</v>
      </c>
      <c r="F159" s="23">
        <f t="shared" si="13"/>
        <v>1479570.4628062581</v>
      </c>
    </row>
    <row r="160" spans="1:6" x14ac:dyDescent="0.2">
      <c r="A160" s="26">
        <f t="shared" si="14"/>
        <v>89</v>
      </c>
      <c r="B160" s="22">
        <f t="shared" si="15"/>
        <v>1479570.4628062581</v>
      </c>
      <c r="C160" s="28">
        <f t="shared" si="16"/>
        <v>-9348.8369735646374</v>
      </c>
      <c r="D160" s="28">
        <f t="shared" si="11"/>
        <v>4284.2796916758662</v>
      </c>
      <c r="E160" s="28">
        <f t="shared" si="12"/>
        <v>-5064.5572818887713</v>
      </c>
      <c r="F160" s="23">
        <f t="shared" si="13"/>
        <v>1474505.9055243693</v>
      </c>
    </row>
    <row r="161" spans="1:6" x14ac:dyDescent="0.2">
      <c r="A161" s="26">
        <f t="shared" si="14"/>
        <v>90</v>
      </c>
      <c r="B161" s="22">
        <f t="shared" si="15"/>
        <v>1474505.9055243693</v>
      </c>
      <c r="C161" s="28">
        <f t="shared" si="16"/>
        <v>-9348.8369735646374</v>
      </c>
      <c r="D161" s="28">
        <f t="shared" si="11"/>
        <v>4269.6146382326051</v>
      </c>
      <c r="E161" s="28">
        <f t="shared" si="12"/>
        <v>-5079.2223353320323</v>
      </c>
      <c r="F161" s="23">
        <f t="shared" si="13"/>
        <v>1469426.6831890373</v>
      </c>
    </row>
    <row r="162" spans="1:6" x14ac:dyDescent="0.2">
      <c r="A162" s="26">
        <f t="shared" si="14"/>
        <v>91</v>
      </c>
      <c r="B162" s="22">
        <f t="shared" si="15"/>
        <v>1469426.6831890373</v>
      </c>
      <c r="C162" s="28">
        <f t="shared" si="16"/>
        <v>-9348.8369735646374</v>
      </c>
      <c r="D162" s="28">
        <f t="shared" si="11"/>
        <v>4254.907120309128</v>
      </c>
      <c r="E162" s="28">
        <f t="shared" si="12"/>
        <v>-5093.9298532555094</v>
      </c>
      <c r="F162" s="23">
        <f t="shared" si="13"/>
        <v>1464332.7533357819</v>
      </c>
    </row>
    <row r="163" spans="1:6" x14ac:dyDescent="0.2">
      <c r="A163" s="26">
        <f t="shared" si="14"/>
        <v>92</v>
      </c>
      <c r="B163" s="22">
        <f t="shared" si="15"/>
        <v>1464332.7533357819</v>
      </c>
      <c r="C163" s="28">
        <f t="shared" si="16"/>
        <v>-9348.8369735646374</v>
      </c>
      <c r="D163" s="28">
        <f t="shared" si="11"/>
        <v>4240.1570149442705</v>
      </c>
      <c r="E163" s="28">
        <f t="shared" si="12"/>
        <v>-5108.679958620367</v>
      </c>
      <c r="F163" s="23">
        <f t="shared" si="13"/>
        <v>1459224.0733771615</v>
      </c>
    </row>
    <row r="164" spans="1:6" x14ac:dyDescent="0.2">
      <c r="A164" s="26">
        <f t="shared" si="14"/>
        <v>93</v>
      </c>
      <c r="B164" s="22">
        <f t="shared" si="15"/>
        <v>1459224.0733771615</v>
      </c>
      <c r="C164" s="28">
        <f t="shared" si="16"/>
        <v>-9348.8369735646374</v>
      </c>
      <c r="D164" s="28">
        <f t="shared" si="11"/>
        <v>4225.3641988208155</v>
      </c>
      <c r="E164" s="28">
        <f t="shared" si="12"/>
        <v>-5123.4727747438219</v>
      </c>
      <c r="F164" s="23">
        <f t="shared" si="13"/>
        <v>1454100.6006024177</v>
      </c>
    </row>
    <row r="165" spans="1:6" x14ac:dyDescent="0.2">
      <c r="A165" s="26">
        <f t="shared" si="14"/>
        <v>94</v>
      </c>
      <c r="B165" s="22">
        <f t="shared" si="15"/>
        <v>1454100.6006024177</v>
      </c>
      <c r="C165" s="28">
        <f t="shared" si="16"/>
        <v>-9348.8369735646374</v>
      </c>
      <c r="D165" s="28">
        <f t="shared" si="11"/>
        <v>4210.5285482644667</v>
      </c>
      <c r="E165" s="28">
        <f t="shared" si="12"/>
        <v>-5138.3084253001707</v>
      </c>
      <c r="F165" s="23">
        <f t="shared" si="13"/>
        <v>1448962.2921771177</v>
      </c>
    </row>
    <row r="166" spans="1:6" x14ac:dyDescent="0.2">
      <c r="A166" s="26">
        <f t="shared" si="14"/>
        <v>95</v>
      </c>
      <c r="B166" s="22">
        <f t="shared" si="15"/>
        <v>1448962.2921771177</v>
      </c>
      <c r="C166" s="28">
        <f t="shared" si="16"/>
        <v>-9348.8369735646374</v>
      </c>
      <c r="D166" s="28">
        <f t="shared" si="11"/>
        <v>4195.6499392428141</v>
      </c>
      <c r="E166" s="28">
        <f t="shared" si="12"/>
        <v>-5153.1870343218234</v>
      </c>
      <c r="F166" s="23">
        <f t="shared" si="13"/>
        <v>1443809.1051427959</v>
      </c>
    </row>
    <row r="167" spans="1:6" x14ac:dyDescent="0.2">
      <c r="A167" s="26">
        <f t="shared" si="14"/>
        <v>96</v>
      </c>
      <c r="B167" s="22">
        <f t="shared" si="15"/>
        <v>1443809.1051427959</v>
      </c>
      <c r="C167" s="28">
        <f t="shared" si="16"/>
        <v>-9348.8369735646374</v>
      </c>
      <c r="D167" s="28">
        <f t="shared" si="11"/>
        <v>4180.7282473642954</v>
      </c>
      <c r="E167" s="28">
        <f t="shared" si="12"/>
        <v>-5168.1087262003421</v>
      </c>
      <c r="F167" s="23">
        <f t="shared" si="13"/>
        <v>1438640.9964165955</v>
      </c>
    </row>
    <row r="168" spans="1:6" x14ac:dyDescent="0.2">
      <c r="A168" s="26">
        <f t="shared" si="14"/>
        <v>97</v>
      </c>
      <c r="B168" s="22">
        <f t="shared" si="15"/>
        <v>1438640.9964165955</v>
      </c>
      <c r="C168" s="28">
        <f t="shared" si="16"/>
        <v>-9348.8369735646374</v>
      </c>
      <c r="D168" s="28">
        <f t="shared" si="11"/>
        <v>4165.7633478771577</v>
      </c>
      <c r="E168" s="28">
        <f t="shared" si="12"/>
        <v>-5183.0736256874798</v>
      </c>
      <c r="F168" s="23">
        <f t="shared" si="13"/>
        <v>1433457.922790908</v>
      </c>
    </row>
    <row r="169" spans="1:6" x14ac:dyDescent="0.2">
      <c r="A169" s="26">
        <f t="shared" si="14"/>
        <v>98</v>
      </c>
      <c r="B169" s="22">
        <f t="shared" si="15"/>
        <v>1433457.922790908</v>
      </c>
      <c r="C169" s="28">
        <f t="shared" si="16"/>
        <v>-9348.8369735646374</v>
      </c>
      <c r="D169" s="28">
        <f t="shared" si="11"/>
        <v>4150.7551156684149</v>
      </c>
      <c r="E169" s="28">
        <f t="shared" si="12"/>
        <v>-5198.0818578962226</v>
      </c>
      <c r="F169" s="23">
        <f t="shared" si="13"/>
        <v>1428259.8409330118</v>
      </c>
    </row>
    <row r="170" spans="1:6" x14ac:dyDescent="0.2">
      <c r="A170" s="26">
        <f t="shared" si="14"/>
        <v>99</v>
      </c>
      <c r="B170" s="22">
        <f t="shared" si="15"/>
        <v>1428259.8409330118</v>
      </c>
      <c r="C170" s="28">
        <f t="shared" si="16"/>
        <v>-9348.8369735646374</v>
      </c>
      <c r="D170" s="28">
        <f t="shared" si="11"/>
        <v>4135.7034252627991</v>
      </c>
      <c r="E170" s="28">
        <f t="shared" si="12"/>
        <v>-5213.1335483018383</v>
      </c>
      <c r="F170" s="23">
        <f t="shared" si="13"/>
        <v>1423046.70738471</v>
      </c>
    </row>
    <row r="171" spans="1:6" x14ac:dyDescent="0.2">
      <c r="A171" s="26">
        <f t="shared" si="14"/>
        <v>100</v>
      </c>
      <c r="B171" s="22">
        <f t="shared" si="15"/>
        <v>1423046.70738471</v>
      </c>
      <c r="C171" s="28">
        <f t="shared" si="16"/>
        <v>-9348.8369735646374</v>
      </c>
      <c r="D171" s="28">
        <f t="shared" si="11"/>
        <v>4120.6081508217139</v>
      </c>
      <c r="E171" s="28">
        <f t="shared" si="12"/>
        <v>-5228.2288227429235</v>
      </c>
      <c r="F171" s="23">
        <f t="shared" si="13"/>
        <v>1417818.4785619671</v>
      </c>
    </row>
    <row r="172" spans="1:6" x14ac:dyDescent="0.2">
      <c r="A172" s="26">
        <f t="shared" si="14"/>
        <v>101</v>
      </c>
      <c r="B172" s="22">
        <f t="shared" si="15"/>
        <v>1417818.4785619671</v>
      </c>
      <c r="C172" s="28">
        <f t="shared" si="16"/>
        <v>-9348.8369735646374</v>
      </c>
      <c r="D172" s="28">
        <f t="shared" si="11"/>
        <v>4105.4691661421821</v>
      </c>
      <c r="E172" s="28">
        <f t="shared" si="12"/>
        <v>-5243.3678074224554</v>
      </c>
      <c r="F172" s="23">
        <f t="shared" si="13"/>
        <v>1412575.1107545446</v>
      </c>
    </row>
    <row r="173" spans="1:6" x14ac:dyDescent="0.2">
      <c r="A173" s="26">
        <f t="shared" si="14"/>
        <v>102</v>
      </c>
      <c r="B173" s="22">
        <f t="shared" si="15"/>
        <v>1412575.1107545446</v>
      </c>
      <c r="C173" s="28">
        <f t="shared" si="16"/>
        <v>-9348.8369735646374</v>
      </c>
      <c r="D173" s="28">
        <f t="shared" si="11"/>
        <v>4090.286344655789</v>
      </c>
      <c r="E173" s="28">
        <f t="shared" si="12"/>
        <v>-5258.550628908848</v>
      </c>
      <c r="F173" s="23">
        <f t="shared" si="13"/>
        <v>1407316.5601256357</v>
      </c>
    </row>
    <row r="174" spans="1:6" x14ac:dyDescent="0.2">
      <c r="A174" s="26">
        <f t="shared" si="14"/>
        <v>103</v>
      </c>
      <c r="B174" s="22">
        <f t="shared" si="15"/>
        <v>1407316.5601256357</v>
      </c>
      <c r="C174" s="28">
        <f t="shared" si="16"/>
        <v>-9348.8369735646374</v>
      </c>
      <c r="D174" s="28">
        <f t="shared" si="11"/>
        <v>4075.0595594276265</v>
      </c>
      <c r="E174" s="28">
        <f t="shared" si="12"/>
        <v>-5273.777414137011</v>
      </c>
      <c r="F174" s="23">
        <f t="shared" si="13"/>
        <v>1402042.7827114987</v>
      </c>
    </row>
    <row r="175" spans="1:6" x14ac:dyDescent="0.2">
      <c r="A175" s="26">
        <f t="shared" si="14"/>
        <v>104</v>
      </c>
      <c r="B175" s="22">
        <f t="shared" si="15"/>
        <v>1402042.7827114987</v>
      </c>
      <c r="C175" s="28">
        <f t="shared" si="16"/>
        <v>-9348.8369735646374</v>
      </c>
      <c r="D175" s="28">
        <f t="shared" si="11"/>
        <v>4059.7886831552305</v>
      </c>
      <c r="E175" s="28">
        <f t="shared" si="12"/>
        <v>-5289.0482904094069</v>
      </c>
      <c r="F175" s="23">
        <f t="shared" si="13"/>
        <v>1396753.7344210893</v>
      </c>
    </row>
    <row r="176" spans="1:6" x14ac:dyDescent="0.2">
      <c r="A176" s="26">
        <f t="shared" si="14"/>
        <v>105</v>
      </c>
      <c r="B176" s="22">
        <f t="shared" si="15"/>
        <v>1396753.7344210893</v>
      </c>
      <c r="C176" s="28">
        <f t="shared" si="16"/>
        <v>-9348.8369735646374</v>
      </c>
      <c r="D176" s="28">
        <f t="shared" si="11"/>
        <v>4044.4735881675165</v>
      </c>
      <c r="E176" s="28">
        <f t="shared" si="12"/>
        <v>-5304.3633853971205</v>
      </c>
      <c r="F176" s="23">
        <f t="shared" si="13"/>
        <v>1391449.3710356923</v>
      </c>
    </row>
    <row r="177" spans="1:6" x14ac:dyDescent="0.2">
      <c r="A177" s="26">
        <f t="shared" si="14"/>
        <v>106</v>
      </c>
      <c r="B177" s="22">
        <f t="shared" si="15"/>
        <v>1391449.3710356923</v>
      </c>
      <c r="C177" s="28">
        <f t="shared" si="16"/>
        <v>-9348.8369735646374</v>
      </c>
      <c r="D177" s="28">
        <f t="shared" si="11"/>
        <v>4029.1141464237126</v>
      </c>
      <c r="E177" s="28">
        <f t="shared" si="12"/>
        <v>-5319.7228271409249</v>
      </c>
      <c r="F177" s="23">
        <f t="shared" si="13"/>
        <v>1386129.6482085513</v>
      </c>
    </row>
    <row r="178" spans="1:6" x14ac:dyDescent="0.2">
      <c r="A178" s="26">
        <f t="shared" si="14"/>
        <v>107</v>
      </c>
      <c r="B178" s="22">
        <f t="shared" si="15"/>
        <v>1386129.6482085513</v>
      </c>
      <c r="C178" s="28">
        <f t="shared" si="16"/>
        <v>-9348.8369735646374</v>
      </c>
      <c r="D178" s="28">
        <f t="shared" si="11"/>
        <v>4013.7102295122891</v>
      </c>
      <c r="E178" s="28">
        <f t="shared" si="12"/>
        <v>-5335.1267440523479</v>
      </c>
      <c r="F178" s="23">
        <f t="shared" si="13"/>
        <v>1380794.5214644989</v>
      </c>
    </row>
    <row r="179" spans="1:6" x14ac:dyDescent="0.2">
      <c r="A179" s="26">
        <f t="shared" si="14"/>
        <v>108</v>
      </c>
      <c r="B179" s="22">
        <f t="shared" si="15"/>
        <v>1380794.5214644989</v>
      </c>
      <c r="C179" s="28">
        <f t="shared" si="16"/>
        <v>-9348.8369735646374</v>
      </c>
      <c r="D179" s="28">
        <f t="shared" si="11"/>
        <v>3998.261708649884</v>
      </c>
      <c r="E179" s="28">
        <f t="shared" si="12"/>
        <v>-5350.5752649147535</v>
      </c>
      <c r="F179" s="23">
        <f t="shared" si="13"/>
        <v>1375443.9461995843</v>
      </c>
    </row>
    <row r="180" spans="1:6" x14ac:dyDescent="0.2">
      <c r="A180" s="26">
        <f t="shared" si="14"/>
        <v>109</v>
      </c>
      <c r="B180" s="22">
        <f t="shared" si="15"/>
        <v>1375443.9461995843</v>
      </c>
      <c r="C180" s="28">
        <f t="shared" si="16"/>
        <v>-9348.8369735646374</v>
      </c>
      <c r="D180" s="28">
        <f t="shared" si="11"/>
        <v>3982.7684546802293</v>
      </c>
      <c r="E180" s="28">
        <f t="shared" si="12"/>
        <v>-5366.0685188844081</v>
      </c>
      <c r="F180" s="23">
        <f t="shared" si="13"/>
        <v>1370077.8776806998</v>
      </c>
    </row>
    <row r="181" spans="1:6" x14ac:dyDescent="0.2">
      <c r="A181" s="26">
        <f t="shared" si="14"/>
        <v>110</v>
      </c>
      <c r="B181" s="22">
        <f t="shared" si="15"/>
        <v>1370077.8776806998</v>
      </c>
      <c r="C181" s="28">
        <f t="shared" si="16"/>
        <v>-9348.8369735646374</v>
      </c>
      <c r="D181" s="28">
        <f t="shared" si="11"/>
        <v>3967.2303380730659</v>
      </c>
      <c r="E181" s="28">
        <f t="shared" si="12"/>
        <v>-5381.6066354915711</v>
      </c>
      <c r="F181" s="23">
        <f t="shared" si="13"/>
        <v>1364696.2710452082</v>
      </c>
    </row>
    <row r="182" spans="1:6" x14ac:dyDescent="0.2">
      <c r="A182" s="26">
        <f t="shared" si="14"/>
        <v>111</v>
      </c>
      <c r="B182" s="22">
        <f t="shared" si="15"/>
        <v>1364696.2710452082</v>
      </c>
      <c r="C182" s="28">
        <f t="shared" si="16"/>
        <v>-9348.8369735646374</v>
      </c>
      <c r="D182" s="28">
        <f t="shared" si="11"/>
        <v>3951.6472289230669</v>
      </c>
      <c r="E182" s="28">
        <f t="shared" si="12"/>
        <v>-5397.1897446415705</v>
      </c>
      <c r="F182" s="23">
        <f t="shared" si="13"/>
        <v>1359299.0813005667</v>
      </c>
    </row>
    <row r="183" spans="1:6" x14ac:dyDescent="0.2">
      <c r="A183" s="26">
        <f t="shared" si="14"/>
        <v>112</v>
      </c>
      <c r="B183" s="22">
        <f t="shared" si="15"/>
        <v>1359299.0813005667</v>
      </c>
      <c r="C183" s="28">
        <f t="shared" si="16"/>
        <v>-9348.8369735646374</v>
      </c>
      <c r="D183" s="28">
        <f t="shared" si="11"/>
        <v>3936.0189969487465</v>
      </c>
      <c r="E183" s="28">
        <f t="shared" si="12"/>
        <v>-5412.817976615891</v>
      </c>
      <c r="F183" s="23">
        <f t="shared" si="13"/>
        <v>1353886.2633239508</v>
      </c>
    </row>
    <row r="184" spans="1:6" x14ac:dyDescent="0.2">
      <c r="A184" s="26">
        <f t="shared" si="14"/>
        <v>113</v>
      </c>
      <c r="B184" s="22">
        <f t="shared" si="15"/>
        <v>1353886.2633239508</v>
      </c>
      <c r="C184" s="28">
        <f t="shared" si="16"/>
        <v>-9348.8369735646374</v>
      </c>
      <c r="D184" s="28">
        <f t="shared" si="11"/>
        <v>3920.3455114913727</v>
      </c>
      <c r="E184" s="28">
        <f t="shared" si="12"/>
        <v>-5428.4914620732652</v>
      </c>
      <c r="F184" s="23">
        <f t="shared" si="13"/>
        <v>1348457.7718618775</v>
      </c>
    </row>
    <row r="185" spans="1:6" x14ac:dyDescent="0.2">
      <c r="A185" s="26">
        <f t="shared" si="14"/>
        <v>114</v>
      </c>
      <c r="B185" s="22">
        <f t="shared" si="15"/>
        <v>1348457.7718618775</v>
      </c>
      <c r="C185" s="28">
        <f t="shared" si="16"/>
        <v>-9348.8369735646374</v>
      </c>
      <c r="D185" s="28">
        <f t="shared" si="11"/>
        <v>3904.6266415138757</v>
      </c>
      <c r="E185" s="28">
        <f t="shared" si="12"/>
        <v>-5444.2103320507613</v>
      </c>
      <c r="F185" s="23">
        <f t="shared" si="13"/>
        <v>1343013.5615298268</v>
      </c>
    </row>
    <row r="186" spans="1:6" x14ac:dyDescent="0.2">
      <c r="A186" s="26">
        <f t="shared" si="14"/>
        <v>115</v>
      </c>
      <c r="B186" s="22">
        <f t="shared" si="15"/>
        <v>1343013.5615298268</v>
      </c>
      <c r="C186" s="28">
        <f t="shared" si="16"/>
        <v>-9348.8369735646374</v>
      </c>
      <c r="D186" s="28">
        <f t="shared" si="11"/>
        <v>3888.8622555997522</v>
      </c>
      <c r="E186" s="28">
        <f t="shared" si="12"/>
        <v>-5459.9747179648857</v>
      </c>
      <c r="F186" s="23">
        <f t="shared" si="13"/>
        <v>1337553.586811862</v>
      </c>
    </row>
    <row r="187" spans="1:6" x14ac:dyDescent="0.2">
      <c r="A187" s="26">
        <f t="shared" si="14"/>
        <v>116</v>
      </c>
      <c r="B187" s="22">
        <f t="shared" si="15"/>
        <v>1337553.586811862</v>
      </c>
      <c r="C187" s="28">
        <f t="shared" si="16"/>
        <v>-9348.8369735646374</v>
      </c>
      <c r="D187" s="28">
        <f t="shared" si="11"/>
        <v>3873.0522219519639</v>
      </c>
      <c r="E187" s="28">
        <f t="shared" si="12"/>
        <v>-5475.7847516126731</v>
      </c>
      <c r="F187" s="23">
        <f t="shared" si="13"/>
        <v>1332077.8020602493</v>
      </c>
    </row>
    <row r="188" spans="1:6" x14ac:dyDescent="0.2">
      <c r="A188" s="26">
        <f t="shared" si="14"/>
        <v>117</v>
      </c>
      <c r="B188" s="22">
        <f t="shared" si="15"/>
        <v>1332077.8020602493</v>
      </c>
      <c r="C188" s="28">
        <f t="shared" si="16"/>
        <v>-9348.8369735646374</v>
      </c>
      <c r="D188" s="28">
        <f t="shared" si="11"/>
        <v>3857.1964083918397</v>
      </c>
      <c r="E188" s="28">
        <f t="shared" si="12"/>
        <v>-5491.6405651727982</v>
      </c>
      <c r="F188" s="23">
        <f t="shared" si="13"/>
        <v>1326586.1614950765</v>
      </c>
    </row>
    <row r="189" spans="1:6" x14ac:dyDescent="0.2">
      <c r="A189" s="26">
        <f t="shared" si="14"/>
        <v>118</v>
      </c>
      <c r="B189" s="22">
        <f t="shared" si="15"/>
        <v>1326586.1614950765</v>
      </c>
      <c r="C189" s="28">
        <f t="shared" si="16"/>
        <v>-9348.8369735646374</v>
      </c>
      <c r="D189" s="28">
        <f t="shared" si="11"/>
        <v>3841.2946823579682</v>
      </c>
      <c r="E189" s="28">
        <f t="shared" si="12"/>
        <v>-5507.5422912066697</v>
      </c>
      <c r="F189" s="23">
        <f t="shared" si="13"/>
        <v>1321078.6192038697</v>
      </c>
    </row>
    <row r="190" spans="1:6" x14ac:dyDescent="0.2">
      <c r="A190" s="26">
        <f t="shared" si="14"/>
        <v>119</v>
      </c>
      <c r="B190" s="22">
        <f t="shared" si="15"/>
        <v>1321078.6192038697</v>
      </c>
      <c r="C190" s="28">
        <f t="shared" si="16"/>
        <v>-9348.8369735646374</v>
      </c>
      <c r="D190" s="28">
        <f t="shared" si="11"/>
        <v>3825.3469109050902</v>
      </c>
      <c r="E190" s="28">
        <f t="shared" si="12"/>
        <v>-5523.4900626595472</v>
      </c>
      <c r="F190" s="23">
        <f t="shared" si="13"/>
        <v>1315555.1291412101</v>
      </c>
    </row>
    <row r="191" spans="1:6" x14ac:dyDescent="0.2">
      <c r="A191" s="26">
        <f t="shared" si="14"/>
        <v>120</v>
      </c>
      <c r="B191" s="22">
        <f t="shared" si="15"/>
        <v>1315555.1291412101</v>
      </c>
      <c r="C191" s="28">
        <f t="shared" si="16"/>
        <v>-9348.8369735646374</v>
      </c>
      <c r="D191" s="28">
        <f t="shared" si="11"/>
        <v>3809.3529607029873</v>
      </c>
      <c r="E191" s="28">
        <f t="shared" si="12"/>
        <v>-5539.4840128616506</v>
      </c>
      <c r="F191" s="23">
        <f t="shared" si="13"/>
        <v>1310015.6451283484</v>
      </c>
    </row>
    <row r="192" spans="1:6" x14ac:dyDescent="0.2">
      <c r="A192" s="26">
        <f t="shared" si="14"/>
        <v>121</v>
      </c>
      <c r="B192" s="22">
        <f t="shared" si="15"/>
        <v>1310015.6451283484</v>
      </c>
      <c r="C192" s="28">
        <f t="shared" si="16"/>
        <v>-9348.8369735646374</v>
      </c>
      <c r="D192" s="28">
        <f t="shared" si="11"/>
        <v>3793.3126980353659</v>
      </c>
      <c r="E192" s="28">
        <f t="shared" si="12"/>
        <v>-5555.5242755292711</v>
      </c>
      <c r="F192" s="23">
        <f t="shared" si="13"/>
        <v>1304460.1208528192</v>
      </c>
    </row>
    <row r="193" spans="1:6" x14ac:dyDescent="0.2">
      <c r="A193" s="26">
        <f t="shared" si="14"/>
        <v>122</v>
      </c>
      <c r="B193" s="22">
        <f t="shared" si="15"/>
        <v>1304460.1208528192</v>
      </c>
      <c r="C193" s="28">
        <f t="shared" si="16"/>
        <v>-9348.8369735646374</v>
      </c>
      <c r="D193" s="28">
        <f t="shared" si="11"/>
        <v>3777.2259887987416</v>
      </c>
      <c r="E193" s="28">
        <f t="shared" si="12"/>
        <v>-5571.6109847658954</v>
      </c>
      <c r="F193" s="23">
        <f t="shared" si="13"/>
        <v>1298888.5098680533</v>
      </c>
    </row>
    <row r="194" spans="1:6" x14ac:dyDescent="0.2">
      <c r="A194" s="26">
        <f t="shared" si="14"/>
        <v>123</v>
      </c>
      <c r="B194" s="22">
        <f t="shared" si="15"/>
        <v>1298888.5098680533</v>
      </c>
      <c r="C194" s="28">
        <f t="shared" si="16"/>
        <v>-9348.8369735646374</v>
      </c>
      <c r="D194" s="28">
        <f t="shared" si="11"/>
        <v>3761.0926985013152</v>
      </c>
      <c r="E194" s="28">
        <f t="shared" si="12"/>
        <v>-5587.7442750633218</v>
      </c>
      <c r="F194" s="23">
        <f t="shared" si="13"/>
        <v>1293300.76559299</v>
      </c>
    </row>
    <row r="195" spans="1:6" x14ac:dyDescent="0.2">
      <c r="A195" s="26">
        <f t="shared" si="14"/>
        <v>124</v>
      </c>
      <c r="B195" s="22">
        <f t="shared" si="15"/>
        <v>1293300.76559299</v>
      </c>
      <c r="C195" s="28">
        <f t="shared" si="16"/>
        <v>-9348.8369735646374</v>
      </c>
      <c r="D195" s="28">
        <f t="shared" si="11"/>
        <v>3744.9126922618511</v>
      </c>
      <c r="E195" s="28">
        <f t="shared" si="12"/>
        <v>-5603.9242813027868</v>
      </c>
      <c r="F195" s="23">
        <f t="shared" si="13"/>
        <v>1287696.8413116871</v>
      </c>
    </row>
    <row r="196" spans="1:6" x14ac:dyDescent="0.2">
      <c r="A196" s="26">
        <f t="shared" si="14"/>
        <v>125</v>
      </c>
      <c r="B196" s="22">
        <f t="shared" si="15"/>
        <v>1287696.8413116871</v>
      </c>
      <c r="C196" s="28">
        <f t="shared" si="16"/>
        <v>-9348.8369735646374</v>
      </c>
      <c r="D196" s="28">
        <f t="shared" si="11"/>
        <v>3728.685834808548</v>
      </c>
      <c r="E196" s="28">
        <f t="shared" si="12"/>
        <v>-5620.1511387560895</v>
      </c>
      <c r="F196" s="23">
        <f t="shared" si="13"/>
        <v>1282076.6901729309</v>
      </c>
    </row>
    <row r="197" spans="1:6" x14ac:dyDescent="0.2">
      <c r="A197" s="26">
        <f t="shared" si="14"/>
        <v>126</v>
      </c>
      <c r="B197" s="22">
        <f t="shared" si="15"/>
        <v>1282076.6901729309</v>
      </c>
      <c r="C197" s="28">
        <f t="shared" si="16"/>
        <v>-9348.8369735646374</v>
      </c>
      <c r="D197" s="28">
        <f t="shared" si="11"/>
        <v>3712.4119904779077</v>
      </c>
      <c r="E197" s="28">
        <f t="shared" si="12"/>
        <v>-5636.4249830867302</v>
      </c>
      <c r="F197" s="23">
        <f t="shared" si="13"/>
        <v>1276440.2651898442</v>
      </c>
    </row>
    <row r="198" spans="1:6" x14ac:dyDescent="0.2">
      <c r="A198" s="26">
        <f t="shared" si="14"/>
        <v>127</v>
      </c>
      <c r="B198" s="22">
        <f t="shared" si="15"/>
        <v>1276440.2651898442</v>
      </c>
      <c r="C198" s="28">
        <f t="shared" si="16"/>
        <v>-9348.8369735646374</v>
      </c>
      <c r="D198" s="28">
        <f t="shared" si="11"/>
        <v>3696.091023213603</v>
      </c>
      <c r="E198" s="28">
        <f t="shared" si="12"/>
        <v>-5652.7459503510345</v>
      </c>
      <c r="F198" s="23">
        <f t="shared" si="13"/>
        <v>1270787.5192394932</v>
      </c>
    </row>
    <row r="199" spans="1:6" x14ac:dyDescent="0.2">
      <c r="A199" s="26">
        <f t="shared" si="14"/>
        <v>128</v>
      </c>
      <c r="B199" s="22">
        <f t="shared" si="15"/>
        <v>1270787.5192394932</v>
      </c>
      <c r="C199" s="28">
        <f t="shared" si="16"/>
        <v>-9348.8369735646374</v>
      </c>
      <c r="D199" s="28">
        <f t="shared" si="11"/>
        <v>3679.7227965653378</v>
      </c>
      <c r="E199" s="28">
        <f t="shared" si="12"/>
        <v>-5669.1141769992992</v>
      </c>
      <c r="F199" s="23">
        <f t="shared" si="13"/>
        <v>1265118.4050624939</v>
      </c>
    </row>
    <row r="200" spans="1:6" x14ac:dyDescent="0.2">
      <c r="A200" s="26">
        <f t="shared" si="14"/>
        <v>129</v>
      </c>
      <c r="B200" s="22">
        <f t="shared" si="15"/>
        <v>1265118.4050624939</v>
      </c>
      <c r="C200" s="28">
        <f t="shared" si="16"/>
        <v>-9348.8369735646374</v>
      </c>
      <c r="D200" s="28">
        <f t="shared" ref="D200:D263" si="17">+B200*$B$14</f>
        <v>3663.3071736877064</v>
      </c>
      <c r="E200" s="28">
        <f t="shared" ref="E200:E263" si="18">+C200+D200</f>
        <v>-5685.5297998769311</v>
      </c>
      <c r="F200" s="23">
        <f t="shared" ref="F200:F263" si="19">+B200+E200</f>
        <v>1259432.8752626169</v>
      </c>
    </row>
    <row r="201" spans="1:6" x14ac:dyDescent="0.2">
      <c r="A201" s="26">
        <f t="shared" ref="A201:A264" si="20">1+A200</f>
        <v>130</v>
      </c>
      <c r="B201" s="22">
        <f t="shared" ref="B201:B264" si="21">F200</f>
        <v>1259432.8752626169</v>
      </c>
      <c r="C201" s="28">
        <f t="shared" ref="C201:C264" si="22">C200</f>
        <v>-9348.8369735646374</v>
      </c>
      <c r="D201" s="28">
        <f t="shared" si="17"/>
        <v>3646.8440173390518</v>
      </c>
      <c r="E201" s="28">
        <f t="shared" si="18"/>
        <v>-5701.9929562255857</v>
      </c>
      <c r="F201" s="23">
        <f t="shared" si="19"/>
        <v>1253730.8823063914</v>
      </c>
    </row>
    <row r="202" spans="1:6" x14ac:dyDescent="0.2">
      <c r="A202" s="26">
        <f t="shared" si="20"/>
        <v>131</v>
      </c>
      <c r="B202" s="22">
        <f t="shared" si="21"/>
        <v>1253730.8823063914</v>
      </c>
      <c r="C202" s="28">
        <f t="shared" si="22"/>
        <v>-9348.8369735646374</v>
      </c>
      <c r="D202" s="28">
        <f t="shared" si="17"/>
        <v>3630.3331898803162</v>
      </c>
      <c r="E202" s="28">
        <f t="shared" si="18"/>
        <v>-5718.5037836843212</v>
      </c>
      <c r="F202" s="23">
        <f t="shared" si="19"/>
        <v>1248012.3785227071</v>
      </c>
    </row>
    <row r="203" spans="1:6" x14ac:dyDescent="0.2">
      <c r="A203" s="26">
        <f t="shared" si="20"/>
        <v>132</v>
      </c>
      <c r="B203" s="22">
        <f t="shared" si="21"/>
        <v>1248012.3785227071</v>
      </c>
      <c r="C203" s="28">
        <f t="shared" si="22"/>
        <v>-9348.8369735646374</v>
      </c>
      <c r="D203" s="28">
        <f t="shared" si="17"/>
        <v>3613.7745532738904</v>
      </c>
      <c r="E203" s="28">
        <f t="shared" si="18"/>
        <v>-5735.0624202907475</v>
      </c>
      <c r="F203" s="23">
        <f t="shared" si="19"/>
        <v>1242277.3161024165</v>
      </c>
    </row>
    <row r="204" spans="1:6" x14ac:dyDescent="0.2">
      <c r="A204" s="26">
        <f t="shared" si="20"/>
        <v>133</v>
      </c>
      <c r="B204" s="22">
        <f t="shared" si="21"/>
        <v>1242277.3161024165</v>
      </c>
      <c r="C204" s="28">
        <f t="shared" si="22"/>
        <v>-9348.8369735646374</v>
      </c>
      <c r="D204" s="28">
        <f t="shared" si="17"/>
        <v>3597.1679690824608</v>
      </c>
      <c r="E204" s="28">
        <f t="shared" si="18"/>
        <v>-5751.6690044821771</v>
      </c>
      <c r="F204" s="23">
        <f t="shared" si="19"/>
        <v>1236525.6470979343</v>
      </c>
    </row>
    <row r="205" spans="1:6" x14ac:dyDescent="0.2">
      <c r="A205" s="26">
        <f t="shared" si="20"/>
        <v>134</v>
      </c>
      <c r="B205" s="22">
        <f t="shared" si="21"/>
        <v>1236525.6470979343</v>
      </c>
      <c r="C205" s="28">
        <f t="shared" si="22"/>
        <v>-9348.8369735646374</v>
      </c>
      <c r="D205" s="28">
        <f t="shared" si="17"/>
        <v>3580.5132984678503</v>
      </c>
      <c r="E205" s="28">
        <f t="shared" si="18"/>
        <v>-5768.3236750967872</v>
      </c>
      <c r="F205" s="23">
        <f t="shared" si="19"/>
        <v>1230757.3234228375</v>
      </c>
    </row>
    <row r="206" spans="1:6" x14ac:dyDescent="0.2">
      <c r="A206" s="26">
        <f t="shared" si="20"/>
        <v>135</v>
      </c>
      <c r="B206" s="22">
        <f t="shared" si="21"/>
        <v>1230757.3234228375</v>
      </c>
      <c r="C206" s="28">
        <f t="shared" si="22"/>
        <v>-9348.8369735646374</v>
      </c>
      <c r="D206" s="28">
        <f t="shared" si="17"/>
        <v>3563.8104021898607</v>
      </c>
      <c r="E206" s="28">
        <f t="shared" si="18"/>
        <v>-5785.0265713747767</v>
      </c>
      <c r="F206" s="23">
        <f t="shared" si="19"/>
        <v>1224972.2968514627</v>
      </c>
    </row>
    <row r="207" spans="1:6" x14ac:dyDescent="0.2">
      <c r="A207" s="26">
        <f t="shared" si="20"/>
        <v>136</v>
      </c>
      <c r="B207" s="22">
        <f t="shared" si="21"/>
        <v>1224972.2968514627</v>
      </c>
      <c r="C207" s="28">
        <f t="shared" si="22"/>
        <v>-9348.8369735646374</v>
      </c>
      <c r="D207" s="28">
        <f t="shared" si="17"/>
        <v>3547.0591406051044</v>
      </c>
      <c r="E207" s="28">
        <f t="shared" si="18"/>
        <v>-5801.777832959533</v>
      </c>
      <c r="F207" s="23">
        <f t="shared" si="19"/>
        <v>1219170.5190185031</v>
      </c>
    </row>
    <row r="208" spans="1:6" x14ac:dyDescent="0.2">
      <c r="A208" s="26">
        <f t="shared" si="20"/>
        <v>137</v>
      </c>
      <c r="B208" s="22">
        <f t="shared" si="21"/>
        <v>1219170.5190185031</v>
      </c>
      <c r="C208" s="28">
        <f t="shared" si="22"/>
        <v>-9348.8369735646374</v>
      </c>
      <c r="D208" s="28">
        <f t="shared" si="17"/>
        <v>3530.2593736658405</v>
      </c>
      <c r="E208" s="28">
        <f t="shared" si="18"/>
        <v>-5818.5775998987974</v>
      </c>
      <c r="F208" s="23">
        <f t="shared" si="19"/>
        <v>1213351.9414186042</v>
      </c>
    </row>
    <row r="209" spans="1:6" x14ac:dyDescent="0.2">
      <c r="A209" s="26">
        <f t="shared" si="20"/>
        <v>138</v>
      </c>
      <c r="B209" s="22">
        <f t="shared" si="21"/>
        <v>1213351.9414186042</v>
      </c>
      <c r="C209" s="28">
        <f t="shared" si="22"/>
        <v>-9348.8369735646374</v>
      </c>
      <c r="D209" s="28">
        <f t="shared" si="17"/>
        <v>3513.4109609188017</v>
      </c>
      <c r="E209" s="28">
        <f t="shared" si="18"/>
        <v>-5835.4260126458357</v>
      </c>
      <c r="F209" s="23">
        <f t="shared" si="19"/>
        <v>1207516.5154059583</v>
      </c>
    </row>
    <row r="210" spans="1:6" x14ac:dyDescent="0.2">
      <c r="A210" s="26">
        <f t="shared" si="20"/>
        <v>139</v>
      </c>
      <c r="B210" s="22">
        <f t="shared" si="21"/>
        <v>1207516.5154059583</v>
      </c>
      <c r="C210" s="28">
        <f t="shared" si="22"/>
        <v>-9348.8369735646374</v>
      </c>
      <c r="D210" s="28">
        <f t="shared" si="17"/>
        <v>3496.5137615040217</v>
      </c>
      <c r="E210" s="28">
        <f t="shared" si="18"/>
        <v>-5852.3232120606153</v>
      </c>
      <c r="F210" s="23">
        <f t="shared" si="19"/>
        <v>1201664.1921938977</v>
      </c>
    </row>
    <row r="211" spans="1:6" x14ac:dyDescent="0.2">
      <c r="A211" s="26">
        <f t="shared" si="20"/>
        <v>140</v>
      </c>
      <c r="B211" s="22">
        <f t="shared" si="21"/>
        <v>1201664.1921938977</v>
      </c>
      <c r="C211" s="28">
        <f t="shared" si="22"/>
        <v>-9348.8369735646374</v>
      </c>
      <c r="D211" s="28">
        <f t="shared" si="17"/>
        <v>3479.5676341536559</v>
      </c>
      <c r="E211" s="28">
        <f t="shared" si="18"/>
        <v>-5869.269339410981</v>
      </c>
      <c r="F211" s="23">
        <f t="shared" si="19"/>
        <v>1195794.9228544866</v>
      </c>
    </row>
    <row r="212" spans="1:6" x14ac:dyDescent="0.2">
      <c r="A212" s="26">
        <f t="shared" si="20"/>
        <v>141</v>
      </c>
      <c r="B212" s="22">
        <f t="shared" si="21"/>
        <v>1195794.9228544866</v>
      </c>
      <c r="C212" s="28">
        <f t="shared" si="22"/>
        <v>-9348.8369735646374</v>
      </c>
      <c r="D212" s="28">
        <f t="shared" si="17"/>
        <v>3462.5724371908009</v>
      </c>
      <c r="E212" s="28">
        <f t="shared" si="18"/>
        <v>-5886.2645363738366</v>
      </c>
      <c r="F212" s="23">
        <f t="shared" si="19"/>
        <v>1189908.6583181128</v>
      </c>
    </row>
    <row r="213" spans="1:6" x14ac:dyDescent="0.2">
      <c r="A213" s="26">
        <f t="shared" si="20"/>
        <v>142</v>
      </c>
      <c r="B213" s="22">
        <f t="shared" si="21"/>
        <v>1189908.6583181128</v>
      </c>
      <c r="C213" s="28">
        <f t="shared" si="22"/>
        <v>-9348.8369735646374</v>
      </c>
      <c r="D213" s="28">
        <f t="shared" si="17"/>
        <v>3445.528028528312</v>
      </c>
      <c r="E213" s="28">
        <f t="shared" si="18"/>
        <v>-5903.3089450363259</v>
      </c>
      <c r="F213" s="23">
        <f t="shared" si="19"/>
        <v>1184005.3493730766</v>
      </c>
    </row>
    <row r="214" spans="1:6" x14ac:dyDescent="0.2">
      <c r="A214" s="26">
        <f t="shared" si="20"/>
        <v>143</v>
      </c>
      <c r="B214" s="22">
        <f t="shared" si="21"/>
        <v>1184005.3493730766</v>
      </c>
      <c r="C214" s="28">
        <f t="shared" si="22"/>
        <v>-9348.8369735646374</v>
      </c>
      <c r="D214" s="28">
        <f t="shared" si="17"/>
        <v>3428.4342656676113</v>
      </c>
      <c r="E214" s="28">
        <f t="shared" si="18"/>
        <v>-5920.4027078970266</v>
      </c>
      <c r="F214" s="23">
        <f t="shared" si="19"/>
        <v>1178084.9466651795</v>
      </c>
    </row>
    <row r="215" spans="1:6" x14ac:dyDescent="0.2">
      <c r="A215" s="26">
        <f t="shared" si="20"/>
        <v>144</v>
      </c>
      <c r="B215" s="22">
        <f t="shared" si="21"/>
        <v>1178084.9466651795</v>
      </c>
      <c r="C215" s="28">
        <f t="shared" si="22"/>
        <v>-9348.8369735646374</v>
      </c>
      <c r="D215" s="28">
        <f t="shared" si="17"/>
        <v>3411.2910056974993</v>
      </c>
      <c r="E215" s="28">
        <f t="shared" si="18"/>
        <v>-5937.5459678671377</v>
      </c>
      <c r="F215" s="23">
        <f t="shared" si="19"/>
        <v>1172147.4006973123</v>
      </c>
    </row>
    <row r="216" spans="1:6" x14ac:dyDescent="0.2">
      <c r="A216" s="26">
        <f t="shared" si="20"/>
        <v>145</v>
      </c>
      <c r="B216" s="22">
        <f t="shared" si="21"/>
        <v>1172147.4006973123</v>
      </c>
      <c r="C216" s="28">
        <f t="shared" si="22"/>
        <v>-9348.8369735646374</v>
      </c>
      <c r="D216" s="28">
        <f t="shared" si="17"/>
        <v>3394.0981052929606</v>
      </c>
      <c r="E216" s="28">
        <f t="shared" si="18"/>
        <v>-5954.7388682716773</v>
      </c>
      <c r="F216" s="23">
        <f t="shared" si="19"/>
        <v>1166192.6618290406</v>
      </c>
    </row>
    <row r="217" spans="1:6" x14ac:dyDescent="0.2">
      <c r="A217" s="26">
        <f t="shared" si="20"/>
        <v>146</v>
      </c>
      <c r="B217" s="22">
        <f t="shared" si="21"/>
        <v>1166192.6618290406</v>
      </c>
      <c r="C217" s="28">
        <f t="shared" si="22"/>
        <v>-9348.8369735646374</v>
      </c>
      <c r="D217" s="28">
        <f t="shared" si="17"/>
        <v>3376.8554207139632</v>
      </c>
      <c r="E217" s="28">
        <f t="shared" si="18"/>
        <v>-5971.9815528506742</v>
      </c>
      <c r="F217" s="23">
        <f t="shared" si="19"/>
        <v>1160220.6802761899</v>
      </c>
    </row>
    <row r="218" spans="1:6" x14ac:dyDescent="0.2">
      <c r="A218" s="26">
        <f t="shared" si="20"/>
        <v>147</v>
      </c>
      <c r="B218" s="22">
        <f t="shared" si="21"/>
        <v>1160220.6802761899</v>
      </c>
      <c r="C218" s="28">
        <f t="shared" si="22"/>
        <v>-9348.8369735646374</v>
      </c>
      <c r="D218" s="28">
        <f t="shared" si="17"/>
        <v>3359.5628078042587</v>
      </c>
      <c r="E218" s="28">
        <f t="shared" si="18"/>
        <v>-5989.2741657603783</v>
      </c>
      <c r="F218" s="23">
        <f t="shared" si="19"/>
        <v>1154231.4061104294</v>
      </c>
    </row>
    <row r="219" spans="1:6" x14ac:dyDescent="0.2">
      <c r="A219" s="26">
        <f t="shared" si="20"/>
        <v>148</v>
      </c>
      <c r="B219" s="22">
        <f t="shared" si="21"/>
        <v>1154231.4061104294</v>
      </c>
      <c r="C219" s="28">
        <f t="shared" si="22"/>
        <v>-9348.8369735646374</v>
      </c>
      <c r="D219" s="28">
        <f t="shared" si="17"/>
        <v>3342.2201219901754</v>
      </c>
      <c r="E219" s="28">
        <f t="shared" si="18"/>
        <v>-6006.6168515744621</v>
      </c>
      <c r="F219" s="23">
        <f t="shared" si="19"/>
        <v>1148224.7892588549</v>
      </c>
    </row>
    <row r="220" spans="1:6" x14ac:dyDescent="0.2">
      <c r="A220" s="26">
        <f t="shared" si="20"/>
        <v>149</v>
      </c>
      <c r="B220" s="22">
        <f t="shared" si="21"/>
        <v>1148224.7892588549</v>
      </c>
      <c r="C220" s="28">
        <f t="shared" si="22"/>
        <v>-9348.8369735646374</v>
      </c>
      <c r="D220" s="28">
        <f t="shared" si="17"/>
        <v>3324.8272182794121</v>
      </c>
      <c r="E220" s="28">
        <f t="shared" si="18"/>
        <v>-6024.0097552852258</v>
      </c>
      <c r="F220" s="23">
        <f t="shared" si="19"/>
        <v>1142200.7795035697</v>
      </c>
    </row>
    <row r="221" spans="1:6" x14ac:dyDescent="0.2">
      <c r="A221" s="26">
        <f t="shared" si="20"/>
        <v>150</v>
      </c>
      <c r="B221" s="22">
        <f t="shared" si="21"/>
        <v>1142200.7795035697</v>
      </c>
      <c r="C221" s="28">
        <f t="shared" si="22"/>
        <v>-9348.8369735646374</v>
      </c>
      <c r="D221" s="28">
        <f t="shared" si="17"/>
        <v>3307.3839512598238</v>
      </c>
      <c r="E221" s="28">
        <f t="shared" si="18"/>
        <v>-6041.4530223048132</v>
      </c>
      <c r="F221" s="23">
        <f t="shared" si="19"/>
        <v>1136159.3264812648</v>
      </c>
    </row>
    <row r="222" spans="1:6" x14ac:dyDescent="0.2">
      <c r="A222" s="26">
        <f t="shared" si="20"/>
        <v>151</v>
      </c>
      <c r="B222" s="22">
        <f t="shared" si="21"/>
        <v>1136159.3264812648</v>
      </c>
      <c r="C222" s="28">
        <f t="shared" si="22"/>
        <v>-9348.8369735646374</v>
      </c>
      <c r="D222" s="28">
        <f t="shared" si="17"/>
        <v>3289.8901750982054</v>
      </c>
      <c r="E222" s="28">
        <f t="shared" si="18"/>
        <v>-6058.9467984664316</v>
      </c>
      <c r="F222" s="23">
        <f t="shared" si="19"/>
        <v>1130100.3796827984</v>
      </c>
    </row>
    <row r="223" spans="1:6" x14ac:dyDescent="0.2">
      <c r="A223" s="26">
        <f t="shared" si="20"/>
        <v>152</v>
      </c>
      <c r="B223" s="22">
        <f t="shared" si="21"/>
        <v>1130100.3796827984</v>
      </c>
      <c r="C223" s="28">
        <f t="shared" si="22"/>
        <v>-9348.8369735646374</v>
      </c>
      <c r="D223" s="28">
        <f t="shared" si="17"/>
        <v>3272.345743539076</v>
      </c>
      <c r="E223" s="28">
        <f t="shared" si="18"/>
        <v>-6076.4912300255619</v>
      </c>
      <c r="F223" s="23">
        <f t="shared" si="19"/>
        <v>1124023.8884527727</v>
      </c>
    </row>
    <row r="224" spans="1:6" x14ac:dyDescent="0.2">
      <c r="A224" s="26">
        <f t="shared" si="20"/>
        <v>153</v>
      </c>
      <c r="B224" s="22">
        <f t="shared" si="21"/>
        <v>1124023.8884527727</v>
      </c>
      <c r="C224" s="28">
        <f t="shared" si="22"/>
        <v>-9348.8369735646374</v>
      </c>
      <c r="D224" s="28">
        <f t="shared" si="17"/>
        <v>3254.7505099034511</v>
      </c>
      <c r="E224" s="28">
        <f t="shared" si="18"/>
        <v>-6094.0864636611859</v>
      </c>
      <c r="F224" s="23">
        <f t="shared" si="19"/>
        <v>1117929.8019891116</v>
      </c>
    </row>
    <row r="225" spans="1:6" x14ac:dyDescent="0.2">
      <c r="A225" s="26">
        <f t="shared" si="20"/>
        <v>154</v>
      </c>
      <c r="B225" s="22">
        <f t="shared" si="21"/>
        <v>1117929.8019891116</v>
      </c>
      <c r="C225" s="28">
        <f t="shared" si="22"/>
        <v>-9348.8369735646374</v>
      </c>
      <c r="D225" s="28">
        <f t="shared" si="17"/>
        <v>3237.1043270876221</v>
      </c>
      <c r="E225" s="28">
        <f t="shared" si="18"/>
        <v>-6111.7326464770158</v>
      </c>
      <c r="F225" s="23">
        <f t="shared" si="19"/>
        <v>1111818.0693426346</v>
      </c>
    </row>
    <row r="226" spans="1:6" x14ac:dyDescent="0.2">
      <c r="A226" s="26">
        <f t="shared" si="20"/>
        <v>155</v>
      </c>
      <c r="B226" s="22">
        <f t="shared" si="21"/>
        <v>1111818.0693426346</v>
      </c>
      <c r="C226" s="28">
        <f t="shared" si="22"/>
        <v>-9348.8369735646374</v>
      </c>
      <c r="D226" s="28">
        <f t="shared" si="17"/>
        <v>3219.4070475619205</v>
      </c>
      <c r="E226" s="28">
        <f t="shared" si="18"/>
        <v>-6129.4299260027165</v>
      </c>
      <c r="F226" s="23">
        <f t="shared" si="19"/>
        <v>1105688.639416632</v>
      </c>
    </row>
    <row r="227" spans="1:6" x14ac:dyDescent="0.2">
      <c r="A227" s="26">
        <f t="shared" si="20"/>
        <v>156</v>
      </c>
      <c r="B227" s="22">
        <f t="shared" si="21"/>
        <v>1105688.639416632</v>
      </c>
      <c r="C227" s="28">
        <f t="shared" si="22"/>
        <v>-9348.8369735646374</v>
      </c>
      <c r="D227" s="28">
        <f t="shared" si="17"/>
        <v>3201.6585233694896</v>
      </c>
      <c r="E227" s="28">
        <f t="shared" si="18"/>
        <v>-6147.1784501951479</v>
      </c>
      <c r="F227" s="23">
        <f t="shared" si="19"/>
        <v>1099541.4609664369</v>
      </c>
    </row>
    <row r="228" spans="1:6" x14ac:dyDescent="0.2">
      <c r="A228" s="26">
        <f t="shared" si="20"/>
        <v>157</v>
      </c>
      <c r="B228" s="22">
        <f t="shared" si="21"/>
        <v>1099541.4609664369</v>
      </c>
      <c r="C228" s="28">
        <f t="shared" si="22"/>
        <v>-9348.8369735646374</v>
      </c>
      <c r="D228" s="28">
        <f t="shared" si="17"/>
        <v>3183.858606125043</v>
      </c>
      <c r="E228" s="28">
        <f t="shared" si="18"/>
        <v>-6164.9783674395949</v>
      </c>
      <c r="F228" s="23">
        <f t="shared" si="19"/>
        <v>1093376.4825989972</v>
      </c>
    </row>
    <row r="229" spans="1:6" x14ac:dyDescent="0.2">
      <c r="A229" s="26">
        <f t="shared" si="20"/>
        <v>158</v>
      </c>
      <c r="B229" s="22">
        <f t="shared" si="21"/>
        <v>1093376.4825989972</v>
      </c>
      <c r="C229" s="28">
        <f t="shared" si="22"/>
        <v>-9348.8369735646374</v>
      </c>
      <c r="D229" s="28">
        <f t="shared" si="17"/>
        <v>3166.0071470136286</v>
      </c>
      <c r="E229" s="28">
        <f t="shared" si="18"/>
        <v>-6182.8298265510093</v>
      </c>
      <c r="F229" s="23">
        <f t="shared" si="19"/>
        <v>1087193.6527724462</v>
      </c>
    </row>
    <row r="230" spans="1:6" x14ac:dyDescent="0.2">
      <c r="A230" s="26">
        <f t="shared" si="20"/>
        <v>159</v>
      </c>
      <c r="B230" s="22">
        <f t="shared" si="21"/>
        <v>1087193.6527724462</v>
      </c>
      <c r="C230" s="28">
        <f t="shared" si="22"/>
        <v>-9348.8369735646374</v>
      </c>
      <c r="D230" s="28">
        <f t="shared" si="17"/>
        <v>3148.1039967893807</v>
      </c>
      <c r="E230" s="28">
        <f t="shared" si="18"/>
        <v>-6200.7329767752562</v>
      </c>
      <c r="F230" s="23">
        <f t="shared" si="19"/>
        <v>1080992.919795671</v>
      </c>
    </row>
    <row r="231" spans="1:6" x14ac:dyDescent="0.2">
      <c r="A231" s="26">
        <f t="shared" si="20"/>
        <v>160</v>
      </c>
      <c r="B231" s="22">
        <f t="shared" si="21"/>
        <v>1080992.919795671</v>
      </c>
      <c r="C231" s="28">
        <f t="shared" si="22"/>
        <v>-9348.8369735646374</v>
      </c>
      <c r="D231" s="28">
        <f t="shared" si="17"/>
        <v>3130.1490057742744</v>
      </c>
      <c r="E231" s="28">
        <f t="shared" si="18"/>
        <v>-6218.6879677903635</v>
      </c>
      <c r="F231" s="23">
        <f t="shared" si="19"/>
        <v>1074774.2318278807</v>
      </c>
    </row>
    <row r="232" spans="1:6" x14ac:dyDescent="0.2">
      <c r="A232" s="26">
        <f t="shared" si="20"/>
        <v>161</v>
      </c>
      <c r="B232" s="22">
        <f t="shared" si="21"/>
        <v>1074774.2318278807</v>
      </c>
      <c r="C232" s="28">
        <f t="shared" si="22"/>
        <v>-9348.8369735646374</v>
      </c>
      <c r="D232" s="28">
        <f t="shared" si="17"/>
        <v>3112.1420238568735</v>
      </c>
      <c r="E232" s="28">
        <f t="shared" si="18"/>
        <v>-6236.694949707764</v>
      </c>
      <c r="F232" s="23">
        <f t="shared" si="19"/>
        <v>1068537.536878173</v>
      </c>
    </row>
    <row r="233" spans="1:6" x14ac:dyDescent="0.2">
      <c r="A233" s="26">
        <f t="shared" si="20"/>
        <v>162</v>
      </c>
      <c r="B233" s="22">
        <f t="shared" si="21"/>
        <v>1068537.536878173</v>
      </c>
      <c r="C233" s="28">
        <f t="shared" si="22"/>
        <v>-9348.8369735646374</v>
      </c>
      <c r="D233" s="28">
        <f t="shared" si="17"/>
        <v>3094.0829004910747</v>
      </c>
      <c r="E233" s="28">
        <f t="shared" si="18"/>
        <v>-6254.7540730735627</v>
      </c>
      <c r="F233" s="23">
        <f t="shared" si="19"/>
        <v>1062282.7828050994</v>
      </c>
    </row>
    <row r="234" spans="1:6" x14ac:dyDescent="0.2">
      <c r="A234" s="26">
        <f t="shared" si="20"/>
        <v>163</v>
      </c>
      <c r="B234" s="22">
        <f t="shared" si="21"/>
        <v>1062282.7828050994</v>
      </c>
      <c r="C234" s="28">
        <f t="shared" si="22"/>
        <v>-9348.8369735646374</v>
      </c>
      <c r="D234" s="28">
        <f t="shared" si="17"/>
        <v>3075.9714846948505</v>
      </c>
      <c r="E234" s="28">
        <f t="shared" si="18"/>
        <v>-6272.8654888697874</v>
      </c>
      <c r="F234" s="23">
        <f t="shared" si="19"/>
        <v>1056009.9173162295</v>
      </c>
    </row>
    <row r="235" spans="1:6" x14ac:dyDescent="0.2">
      <c r="A235" s="26">
        <f t="shared" si="20"/>
        <v>164</v>
      </c>
      <c r="B235" s="22">
        <f t="shared" si="21"/>
        <v>1056009.9173162295</v>
      </c>
      <c r="C235" s="28">
        <f t="shared" si="22"/>
        <v>-9348.8369735646374</v>
      </c>
      <c r="D235" s="28">
        <f t="shared" si="17"/>
        <v>3057.8076250489862</v>
      </c>
      <c r="E235" s="28">
        <f t="shared" si="18"/>
        <v>-6291.0293485156508</v>
      </c>
      <c r="F235" s="23">
        <f t="shared" si="19"/>
        <v>1049718.8879677139</v>
      </c>
    </row>
    <row r="236" spans="1:6" x14ac:dyDescent="0.2">
      <c r="A236" s="26">
        <f t="shared" si="20"/>
        <v>165</v>
      </c>
      <c r="B236" s="22">
        <f t="shared" si="21"/>
        <v>1049718.8879677139</v>
      </c>
      <c r="C236" s="28">
        <f t="shared" si="22"/>
        <v>-9348.8369735646374</v>
      </c>
      <c r="D236" s="28">
        <f t="shared" si="17"/>
        <v>3039.5911696958137</v>
      </c>
      <c r="E236" s="28">
        <f t="shared" si="18"/>
        <v>-6309.2458038688237</v>
      </c>
      <c r="F236" s="23">
        <f t="shared" si="19"/>
        <v>1043409.642163845</v>
      </c>
    </row>
    <row r="237" spans="1:6" x14ac:dyDescent="0.2">
      <c r="A237" s="26">
        <f t="shared" si="20"/>
        <v>166</v>
      </c>
      <c r="B237" s="22">
        <f t="shared" si="21"/>
        <v>1043409.642163845</v>
      </c>
      <c r="C237" s="28">
        <f t="shared" si="22"/>
        <v>-9348.8369735646374</v>
      </c>
      <c r="D237" s="28">
        <f t="shared" si="17"/>
        <v>3021.3219663379432</v>
      </c>
      <c r="E237" s="28">
        <f t="shared" si="18"/>
        <v>-6327.5150072266943</v>
      </c>
      <c r="F237" s="23">
        <f t="shared" si="19"/>
        <v>1037082.1271566183</v>
      </c>
    </row>
    <row r="238" spans="1:6" x14ac:dyDescent="0.2">
      <c r="A238" s="26">
        <f t="shared" si="20"/>
        <v>167</v>
      </c>
      <c r="B238" s="22">
        <f t="shared" si="21"/>
        <v>1037082.1271566183</v>
      </c>
      <c r="C238" s="28">
        <f t="shared" si="22"/>
        <v>-9348.8369735646374</v>
      </c>
      <c r="D238" s="28">
        <f t="shared" si="17"/>
        <v>3002.9998622369872</v>
      </c>
      <c r="E238" s="28">
        <f t="shared" si="18"/>
        <v>-6345.8371113276498</v>
      </c>
      <c r="F238" s="23">
        <f t="shared" si="19"/>
        <v>1030736.2900452906</v>
      </c>
    </row>
    <row r="239" spans="1:6" x14ac:dyDescent="0.2">
      <c r="A239" s="26">
        <f t="shared" si="20"/>
        <v>168</v>
      </c>
      <c r="B239" s="22">
        <f t="shared" si="21"/>
        <v>1030736.2900452906</v>
      </c>
      <c r="C239" s="28">
        <f t="shared" si="22"/>
        <v>-9348.8369735646374</v>
      </c>
      <c r="D239" s="28">
        <f t="shared" si="17"/>
        <v>2984.6247042122868</v>
      </c>
      <c r="E239" s="28">
        <f t="shared" si="18"/>
        <v>-6364.2122693523506</v>
      </c>
      <c r="F239" s="23">
        <f t="shared" si="19"/>
        <v>1024372.0777759382</v>
      </c>
    </row>
    <row r="240" spans="1:6" x14ac:dyDescent="0.2">
      <c r="A240" s="26">
        <f t="shared" si="20"/>
        <v>169</v>
      </c>
      <c r="B240" s="22">
        <f t="shared" si="21"/>
        <v>1024372.0777759382</v>
      </c>
      <c r="C240" s="28">
        <f t="shared" si="22"/>
        <v>-9348.8369735646374</v>
      </c>
      <c r="D240" s="28">
        <f t="shared" si="17"/>
        <v>2966.1963386396283</v>
      </c>
      <c r="E240" s="28">
        <f t="shared" si="18"/>
        <v>-6382.6406349250092</v>
      </c>
      <c r="F240" s="23">
        <f t="shared" si="19"/>
        <v>1017989.4371410132</v>
      </c>
    </row>
    <row r="241" spans="1:6" x14ac:dyDescent="0.2">
      <c r="A241" s="26">
        <f t="shared" si="20"/>
        <v>170</v>
      </c>
      <c r="B241" s="22">
        <f t="shared" si="21"/>
        <v>1017989.4371410132</v>
      </c>
      <c r="C241" s="28">
        <f t="shared" si="22"/>
        <v>-9348.8369735646374</v>
      </c>
      <c r="D241" s="28">
        <f t="shared" si="17"/>
        <v>2947.7146114499615</v>
      </c>
      <c r="E241" s="28">
        <f t="shared" si="18"/>
        <v>-6401.1223621146764</v>
      </c>
      <c r="F241" s="23">
        <f t="shared" si="19"/>
        <v>1011588.3147788985</v>
      </c>
    </row>
    <row r="242" spans="1:6" x14ac:dyDescent="0.2">
      <c r="A242" s="26">
        <f t="shared" si="20"/>
        <v>171</v>
      </c>
      <c r="B242" s="22">
        <f t="shared" si="21"/>
        <v>1011588.3147788985</v>
      </c>
      <c r="C242" s="28">
        <f t="shared" si="22"/>
        <v>-9348.8369735646374</v>
      </c>
      <c r="D242" s="28">
        <f t="shared" si="17"/>
        <v>2929.1793681281088</v>
      </c>
      <c r="E242" s="28">
        <f t="shared" si="18"/>
        <v>-6419.6576054365287</v>
      </c>
      <c r="F242" s="23">
        <f t="shared" si="19"/>
        <v>1005168.657173462</v>
      </c>
    </row>
    <row r="243" spans="1:6" x14ac:dyDescent="0.2">
      <c r="A243" s="26">
        <f t="shared" si="20"/>
        <v>172</v>
      </c>
      <c r="B243" s="22">
        <f t="shared" si="21"/>
        <v>1005168.657173462</v>
      </c>
      <c r="C243" s="28">
        <f t="shared" si="22"/>
        <v>-9348.8369735646374</v>
      </c>
      <c r="D243" s="28">
        <f t="shared" si="17"/>
        <v>2910.5904537114752</v>
      </c>
      <c r="E243" s="28">
        <f t="shared" si="18"/>
        <v>-6438.2465198531627</v>
      </c>
      <c r="F243" s="23">
        <f t="shared" si="19"/>
        <v>998730.41065360885</v>
      </c>
    </row>
    <row r="244" spans="1:6" x14ac:dyDescent="0.2">
      <c r="A244" s="26">
        <f t="shared" si="20"/>
        <v>173</v>
      </c>
      <c r="B244" s="22">
        <f t="shared" si="21"/>
        <v>998730.41065360885</v>
      </c>
      <c r="C244" s="28">
        <f t="shared" si="22"/>
        <v>-9348.8369735646374</v>
      </c>
      <c r="D244" s="28">
        <f t="shared" si="17"/>
        <v>2891.9477127887531</v>
      </c>
      <c r="E244" s="28">
        <f t="shared" si="18"/>
        <v>-6456.8892607758844</v>
      </c>
      <c r="F244" s="23">
        <f t="shared" si="19"/>
        <v>992273.52139283298</v>
      </c>
    </row>
    <row r="245" spans="1:6" x14ac:dyDescent="0.2">
      <c r="A245" s="26">
        <f t="shared" si="20"/>
        <v>174</v>
      </c>
      <c r="B245" s="22">
        <f t="shared" si="21"/>
        <v>992273.52139283298</v>
      </c>
      <c r="C245" s="28">
        <f t="shared" si="22"/>
        <v>-9348.8369735646374</v>
      </c>
      <c r="D245" s="28">
        <f t="shared" si="17"/>
        <v>2873.2509894986206</v>
      </c>
      <c r="E245" s="28">
        <f t="shared" si="18"/>
        <v>-6475.5859840660169</v>
      </c>
      <c r="F245" s="23">
        <f t="shared" si="19"/>
        <v>985797.93540876696</v>
      </c>
    </row>
    <row r="246" spans="1:6" x14ac:dyDescent="0.2">
      <c r="A246" s="26">
        <f t="shared" si="20"/>
        <v>175</v>
      </c>
      <c r="B246" s="22">
        <f t="shared" si="21"/>
        <v>985797.93540876696</v>
      </c>
      <c r="C246" s="28">
        <f t="shared" si="22"/>
        <v>-9348.8369735646374</v>
      </c>
      <c r="D246" s="28">
        <f t="shared" si="17"/>
        <v>2854.5001275284408</v>
      </c>
      <c r="E246" s="28">
        <f t="shared" si="18"/>
        <v>-6494.3368460361962</v>
      </c>
      <c r="F246" s="23">
        <f t="shared" si="19"/>
        <v>979303.59856273071</v>
      </c>
    </row>
    <row r="247" spans="1:6" x14ac:dyDescent="0.2">
      <c r="A247" s="26">
        <f t="shared" si="20"/>
        <v>176</v>
      </c>
      <c r="B247" s="22">
        <f t="shared" si="21"/>
        <v>979303.59856273071</v>
      </c>
      <c r="C247" s="28">
        <f t="shared" si="22"/>
        <v>-9348.8369735646374</v>
      </c>
      <c r="D247" s="28">
        <f t="shared" si="17"/>
        <v>2835.6949701129547</v>
      </c>
      <c r="E247" s="28">
        <f t="shared" si="18"/>
        <v>-6513.1420034516832</v>
      </c>
      <c r="F247" s="23">
        <f t="shared" si="19"/>
        <v>972790.456559279</v>
      </c>
    </row>
    <row r="248" spans="1:6" x14ac:dyDescent="0.2">
      <c r="A248" s="26">
        <f t="shared" si="20"/>
        <v>177</v>
      </c>
      <c r="B248" s="22">
        <f t="shared" si="21"/>
        <v>972790.456559279</v>
      </c>
      <c r="C248" s="28">
        <f t="shared" si="22"/>
        <v>-9348.8369735646374</v>
      </c>
      <c r="D248" s="28">
        <f t="shared" si="17"/>
        <v>2816.8353600329692</v>
      </c>
      <c r="E248" s="28">
        <f t="shared" si="18"/>
        <v>-6532.0016135316682</v>
      </c>
      <c r="F248" s="23">
        <f t="shared" si="19"/>
        <v>966258.45494574739</v>
      </c>
    </row>
    <row r="249" spans="1:6" x14ac:dyDescent="0.2">
      <c r="A249" s="26">
        <f t="shared" si="20"/>
        <v>178</v>
      </c>
      <c r="B249" s="22">
        <f t="shared" si="21"/>
        <v>966258.45494574739</v>
      </c>
      <c r="C249" s="28">
        <f t="shared" si="22"/>
        <v>-9348.8369735646374</v>
      </c>
      <c r="D249" s="28">
        <f t="shared" si="17"/>
        <v>2797.9211396140449</v>
      </c>
      <c r="E249" s="28">
        <f t="shared" si="18"/>
        <v>-6550.9158339505921</v>
      </c>
      <c r="F249" s="23">
        <f t="shared" si="19"/>
        <v>959707.53911179677</v>
      </c>
    </row>
    <row r="250" spans="1:6" x14ac:dyDescent="0.2">
      <c r="A250" s="26">
        <f t="shared" si="20"/>
        <v>179</v>
      </c>
      <c r="B250" s="22">
        <f t="shared" si="21"/>
        <v>959707.53911179677</v>
      </c>
      <c r="C250" s="28">
        <f t="shared" si="22"/>
        <v>-9348.8369735646374</v>
      </c>
      <c r="D250" s="28">
        <f t="shared" si="17"/>
        <v>2778.9521507251748</v>
      </c>
      <c r="E250" s="28">
        <f t="shared" si="18"/>
        <v>-6569.8848228394627</v>
      </c>
      <c r="F250" s="23">
        <f t="shared" si="19"/>
        <v>953137.65428895736</v>
      </c>
    </row>
    <row r="251" spans="1:6" x14ac:dyDescent="0.2">
      <c r="A251" s="26">
        <f t="shared" si="20"/>
        <v>180</v>
      </c>
      <c r="B251" s="22">
        <f t="shared" si="21"/>
        <v>953137.65428895736</v>
      </c>
      <c r="C251" s="28">
        <f t="shared" si="22"/>
        <v>-9348.8369735646374</v>
      </c>
      <c r="D251" s="28">
        <f t="shared" si="17"/>
        <v>2759.9282347774651</v>
      </c>
      <c r="E251" s="28">
        <f t="shared" si="18"/>
        <v>-6588.9087387871723</v>
      </c>
      <c r="F251" s="23">
        <f t="shared" si="19"/>
        <v>946548.74555017019</v>
      </c>
    </row>
    <row r="252" spans="1:6" x14ac:dyDescent="0.2">
      <c r="A252" s="26">
        <f t="shared" si="20"/>
        <v>181</v>
      </c>
      <c r="B252" s="22">
        <f t="shared" si="21"/>
        <v>946548.74555017019</v>
      </c>
      <c r="C252" s="28">
        <f t="shared" si="22"/>
        <v>-9348.8369735646374</v>
      </c>
      <c r="D252" s="28">
        <f t="shared" si="17"/>
        <v>2740.8492327228073</v>
      </c>
      <c r="E252" s="28">
        <f t="shared" si="18"/>
        <v>-6607.9877408418306</v>
      </c>
      <c r="F252" s="23">
        <f t="shared" si="19"/>
        <v>939940.75780932838</v>
      </c>
    </row>
    <row r="253" spans="1:6" x14ac:dyDescent="0.2">
      <c r="A253" s="26">
        <f t="shared" si="20"/>
        <v>182</v>
      </c>
      <c r="B253" s="22">
        <f t="shared" si="21"/>
        <v>939940.75780932838</v>
      </c>
      <c r="C253" s="28">
        <f t="shared" si="22"/>
        <v>-9348.8369735646374</v>
      </c>
      <c r="D253" s="28">
        <f t="shared" si="17"/>
        <v>2721.7149850525502</v>
      </c>
      <c r="E253" s="28">
        <f t="shared" si="18"/>
        <v>-6627.1219885120872</v>
      </c>
      <c r="F253" s="23">
        <f t="shared" si="19"/>
        <v>933313.63582081627</v>
      </c>
    </row>
    <row r="254" spans="1:6" x14ac:dyDescent="0.2">
      <c r="A254" s="26">
        <f t="shared" si="20"/>
        <v>183</v>
      </c>
      <c r="B254" s="22">
        <f t="shared" si="21"/>
        <v>933313.63582081627</v>
      </c>
      <c r="C254" s="28">
        <f t="shared" si="22"/>
        <v>-9348.8369735646374</v>
      </c>
      <c r="D254" s="28">
        <f t="shared" si="17"/>
        <v>2702.5253317961656</v>
      </c>
      <c r="E254" s="28">
        <f t="shared" si="18"/>
        <v>-6646.3116417684723</v>
      </c>
      <c r="F254" s="23">
        <f t="shared" si="19"/>
        <v>926667.32417904784</v>
      </c>
    </row>
    <row r="255" spans="1:6" x14ac:dyDescent="0.2">
      <c r="A255" s="26">
        <f t="shared" si="20"/>
        <v>184</v>
      </c>
      <c r="B255" s="22">
        <f t="shared" si="21"/>
        <v>926667.32417904784</v>
      </c>
      <c r="C255" s="28">
        <f t="shared" si="22"/>
        <v>-9348.8369735646374</v>
      </c>
      <c r="D255" s="28">
        <f t="shared" si="17"/>
        <v>2683.2801125199098</v>
      </c>
      <c r="E255" s="28">
        <f t="shared" si="18"/>
        <v>-6665.5568610447281</v>
      </c>
      <c r="F255" s="23">
        <f t="shared" si="19"/>
        <v>920001.76731800311</v>
      </c>
    </row>
    <row r="256" spans="1:6" x14ac:dyDescent="0.2">
      <c r="A256" s="26">
        <f t="shared" si="20"/>
        <v>185</v>
      </c>
      <c r="B256" s="22">
        <f t="shared" si="21"/>
        <v>920001.76731800311</v>
      </c>
      <c r="C256" s="28">
        <f t="shared" si="22"/>
        <v>-9348.8369735646374</v>
      </c>
      <c r="D256" s="28">
        <f t="shared" si="17"/>
        <v>2663.9791663254846</v>
      </c>
      <c r="E256" s="28">
        <f t="shared" si="18"/>
        <v>-6684.8578072391529</v>
      </c>
      <c r="F256" s="23">
        <f t="shared" si="19"/>
        <v>913316.90951076394</v>
      </c>
    </row>
    <row r="257" spans="1:6" x14ac:dyDescent="0.2">
      <c r="A257" s="26">
        <f t="shared" si="20"/>
        <v>186</v>
      </c>
      <c r="B257" s="22">
        <f t="shared" si="21"/>
        <v>913316.90951076394</v>
      </c>
      <c r="C257" s="28">
        <f t="shared" si="22"/>
        <v>-9348.8369735646374</v>
      </c>
      <c r="D257" s="28">
        <f t="shared" si="17"/>
        <v>2644.6223318486896</v>
      </c>
      <c r="E257" s="28">
        <f t="shared" si="18"/>
        <v>-6704.2146417159474</v>
      </c>
      <c r="F257" s="23">
        <f t="shared" si="19"/>
        <v>906612.69486904796</v>
      </c>
    </row>
    <row r="258" spans="1:6" x14ac:dyDescent="0.2">
      <c r="A258" s="26">
        <f t="shared" si="20"/>
        <v>187</v>
      </c>
      <c r="B258" s="22">
        <f t="shared" si="21"/>
        <v>906612.69486904796</v>
      </c>
      <c r="C258" s="28">
        <f t="shared" si="22"/>
        <v>-9348.8369735646374</v>
      </c>
      <c r="D258" s="28">
        <f t="shared" si="17"/>
        <v>2625.2094472580752</v>
      </c>
      <c r="E258" s="28">
        <f t="shared" si="18"/>
        <v>-6723.6275263065618</v>
      </c>
      <c r="F258" s="23">
        <f t="shared" si="19"/>
        <v>899889.06734274141</v>
      </c>
    </row>
    <row r="259" spans="1:6" x14ac:dyDescent="0.2">
      <c r="A259" s="26">
        <f t="shared" si="20"/>
        <v>188</v>
      </c>
      <c r="B259" s="22">
        <f t="shared" si="21"/>
        <v>899889.06734274141</v>
      </c>
      <c r="C259" s="28">
        <f t="shared" si="22"/>
        <v>-9348.8369735646374</v>
      </c>
      <c r="D259" s="28">
        <f t="shared" si="17"/>
        <v>2605.7403502535885</v>
      </c>
      <c r="E259" s="28">
        <f t="shared" si="18"/>
        <v>-6743.0966233110485</v>
      </c>
      <c r="F259" s="23">
        <f t="shared" si="19"/>
        <v>893145.97071943036</v>
      </c>
    </row>
    <row r="260" spans="1:6" x14ac:dyDescent="0.2">
      <c r="A260" s="26">
        <f t="shared" si="20"/>
        <v>189</v>
      </c>
      <c r="B260" s="22">
        <f t="shared" si="21"/>
        <v>893145.97071943036</v>
      </c>
      <c r="C260" s="28">
        <f t="shared" si="22"/>
        <v>-9348.8369735646374</v>
      </c>
      <c r="D260" s="28">
        <f t="shared" si="17"/>
        <v>2586.2148780652169</v>
      </c>
      <c r="E260" s="28">
        <f t="shared" si="18"/>
        <v>-6762.6220954994205</v>
      </c>
      <c r="F260" s="23">
        <f t="shared" si="19"/>
        <v>886383.34862393094</v>
      </c>
    </row>
    <row r="261" spans="1:6" x14ac:dyDescent="0.2">
      <c r="A261" s="26">
        <f t="shared" si="20"/>
        <v>190</v>
      </c>
      <c r="B261" s="22">
        <f t="shared" si="21"/>
        <v>886383.34862393094</v>
      </c>
      <c r="C261" s="28">
        <f t="shared" si="22"/>
        <v>-9348.8369735646374</v>
      </c>
      <c r="D261" s="28">
        <f t="shared" si="17"/>
        <v>2566.6328674516271</v>
      </c>
      <c r="E261" s="28">
        <f t="shared" si="18"/>
        <v>-6782.2041061130103</v>
      </c>
      <c r="F261" s="23">
        <f t="shared" si="19"/>
        <v>879601.14451781788</v>
      </c>
    </row>
    <row r="262" spans="1:6" x14ac:dyDescent="0.2">
      <c r="A262" s="26">
        <f t="shared" si="20"/>
        <v>191</v>
      </c>
      <c r="B262" s="22">
        <f t="shared" si="21"/>
        <v>879601.14451781788</v>
      </c>
      <c r="C262" s="28">
        <f t="shared" si="22"/>
        <v>-9348.8369735646374</v>
      </c>
      <c r="D262" s="28">
        <f t="shared" si="17"/>
        <v>2546.9941546987989</v>
      </c>
      <c r="E262" s="28">
        <f t="shared" si="18"/>
        <v>-6801.8428188658381</v>
      </c>
      <c r="F262" s="23">
        <f t="shared" si="19"/>
        <v>872799.3016989521</v>
      </c>
    </row>
    <row r="263" spans="1:6" x14ac:dyDescent="0.2">
      <c r="A263" s="26">
        <f t="shared" si="20"/>
        <v>192</v>
      </c>
      <c r="B263" s="22">
        <f t="shared" si="21"/>
        <v>872799.3016989521</v>
      </c>
      <c r="C263" s="28">
        <f t="shared" si="22"/>
        <v>-9348.8369735646374</v>
      </c>
      <c r="D263" s="28">
        <f t="shared" si="17"/>
        <v>2527.2985756186604</v>
      </c>
      <c r="E263" s="28">
        <f t="shared" si="18"/>
        <v>-6821.5383979459766</v>
      </c>
      <c r="F263" s="23">
        <f t="shared" si="19"/>
        <v>865977.76330100617</v>
      </c>
    </row>
    <row r="264" spans="1:6" x14ac:dyDescent="0.2">
      <c r="A264" s="26">
        <f t="shared" si="20"/>
        <v>193</v>
      </c>
      <c r="B264" s="22">
        <f t="shared" si="21"/>
        <v>865977.76330100617</v>
      </c>
      <c r="C264" s="28">
        <f t="shared" si="22"/>
        <v>-9348.8369735646374</v>
      </c>
      <c r="D264" s="28">
        <f t="shared" ref="D264:D327" si="23">+B264*$B$14</f>
        <v>2507.5459655477102</v>
      </c>
      <c r="E264" s="28">
        <f t="shared" ref="E264:E327" si="24">+C264+D264</f>
        <v>-6841.2910080169277</v>
      </c>
      <c r="F264" s="23">
        <f t="shared" ref="F264:F327" si="25">+B264+E264</f>
        <v>859136.47229298926</v>
      </c>
    </row>
    <row r="265" spans="1:6" x14ac:dyDescent="0.2">
      <c r="A265" s="26">
        <f t="shared" ref="A265:A328" si="26">1+A264</f>
        <v>194</v>
      </c>
      <c r="B265" s="22">
        <f t="shared" ref="B265:B328" si="27">F264</f>
        <v>859136.47229298926</v>
      </c>
      <c r="C265" s="28">
        <f t="shared" ref="C265:C328" si="28">C264</f>
        <v>-9348.8369735646374</v>
      </c>
      <c r="D265" s="28">
        <f t="shared" si="23"/>
        <v>2487.7361593456453</v>
      </c>
      <c r="E265" s="28">
        <f t="shared" si="24"/>
        <v>-6861.1008142189921</v>
      </c>
      <c r="F265" s="23">
        <f t="shared" si="25"/>
        <v>852275.37147877028</v>
      </c>
    </row>
    <row r="266" spans="1:6" x14ac:dyDescent="0.2">
      <c r="A266" s="26">
        <f t="shared" si="26"/>
        <v>195</v>
      </c>
      <c r="B266" s="22">
        <f t="shared" si="27"/>
        <v>852275.37147877028</v>
      </c>
      <c r="C266" s="28">
        <f t="shared" si="28"/>
        <v>-9348.8369735646374</v>
      </c>
      <c r="D266" s="28">
        <f t="shared" si="23"/>
        <v>2467.8689913939775</v>
      </c>
      <c r="E266" s="28">
        <f t="shared" si="24"/>
        <v>-6880.9679821706595</v>
      </c>
      <c r="F266" s="23">
        <f t="shared" si="25"/>
        <v>845394.40349659964</v>
      </c>
    </row>
    <row r="267" spans="1:6" x14ac:dyDescent="0.2">
      <c r="A267" s="26">
        <f t="shared" si="26"/>
        <v>196</v>
      </c>
      <c r="B267" s="22">
        <f t="shared" si="27"/>
        <v>845394.40349659964</v>
      </c>
      <c r="C267" s="28">
        <f t="shared" si="28"/>
        <v>-9348.8369735646374</v>
      </c>
      <c r="D267" s="28">
        <f t="shared" si="23"/>
        <v>2447.9442955946492</v>
      </c>
      <c r="E267" s="28">
        <f t="shared" si="24"/>
        <v>-6900.8926779699887</v>
      </c>
      <c r="F267" s="23">
        <f t="shared" si="25"/>
        <v>838493.51081862964</v>
      </c>
    </row>
    <row r="268" spans="1:6" x14ac:dyDescent="0.2">
      <c r="A268" s="26">
        <f t="shared" si="26"/>
        <v>197</v>
      </c>
      <c r="B268" s="22">
        <f t="shared" si="27"/>
        <v>838493.51081862964</v>
      </c>
      <c r="C268" s="28">
        <f t="shared" si="28"/>
        <v>-9348.8369735646374</v>
      </c>
      <c r="D268" s="28">
        <f t="shared" si="23"/>
        <v>2427.961905368647</v>
      </c>
      <c r="E268" s="28">
        <f t="shared" si="24"/>
        <v>-6920.87506819599</v>
      </c>
      <c r="F268" s="23">
        <f t="shared" si="25"/>
        <v>831572.63575043366</v>
      </c>
    </row>
    <row r="269" spans="1:6" x14ac:dyDescent="0.2">
      <c r="A269" s="26">
        <f t="shared" si="26"/>
        <v>198</v>
      </c>
      <c r="B269" s="22">
        <f t="shared" si="27"/>
        <v>831572.63575043366</v>
      </c>
      <c r="C269" s="28">
        <f t="shared" si="28"/>
        <v>-9348.8369735646374</v>
      </c>
      <c r="D269" s="28">
        <f t="shared" si="23"/>
        <v>2407.921653654606</v>
      </c>
      <c r="E269" s="28">
        <f t="shared" si="24"/>
        <v>-6940.915319910031</v>
      </c>
      <c r="F269" s="23">
        <f t="shared" si="25"/>
        <v>824631.72043052362</v>
      </c>
    </row>
    <row r="270" spans="1:6" x14ac:dyDescent="0.2">
      <c r="A270" s="26">
        <f t="shared" si="26"/>
        <v>199</v>
      </c>
      <c r="B270" s="22">
        <f t="shared" si="27"/>
        <v>824631.72043052362</v>
      </c>
      <c r="C270" s="28">
        <f t="shared" si="28"/>
        <v>-9348.8369735646374</v>
      </c>
      <c r="D270" s="28">
        <f t="shared" si="23"/>
        <v>2387.8233729074141</v>
      </c>
      <c r="E270" s="28">
        <f t="shared" si="24"/>
        <v>-6961.0136006572229</v>
      </c>
      <c r="F270" s="23">
        <f t="shared" si="25"/>
        <v>817670.70682986639</v>
      </c>
    </row>
    <row r="271" spans="1:6" x14ac:dyDescent="0.2">
      <c r="A271" s="26">
        <f t="shared" si="26"/>
        <v>200</v>
      </c>
      <c r="B271" s="22">
        <f t="shared" si="27"/>
        <v>817670.70682986639</v>
      </c>
      <c r="C271" s="28">
        <f t="shared" si="28"/>
        <v>-9348.8369735646374</v>
      </c>
      <c r="D271" s="28">
        <f t="shared" si="23"/>
        <v>2367.6668950968128</v>
      </c>
      <c r="E271" s="28">
        <f t="shared" si="24"/>
        <v>-6981.1700784678251</v>
      </c>
      <c r="F271" s="23">
        <f t="shared" si="25"/>
        <v>810689.53675139858</v>
      </c>
    </row>
    <row r="272" spans="1:6" x14ac:dyDescent="0.2">
      <c r="A272" s="26">
        <f t="shared" si="26"/>
        <v>201</v>
      </c>
      <c r="B272" s="22">
        <f t="shared" si="27"/>
        <v>810689.53675139858</v>
      </c>
      <c r="C272" s="28">
        <f t="shared" si="28"/>
        <v>-9348.8369735646374</v>
      </c>
      <c r="D272" s="28">
        <f t="shared" si="23"/>
        <v>2347.4520517059909</v>
      </c>
      <c r="E272" s="28">
        <f t="shared" si="24"/>
        <v>-7001.3849218586465</v>
      </c>
      <c r="F272" s="23">
        <f t="shared" si="25"/>
        <v>803688.15182953991</v>
      </c>
    </row>
    <row r="273" spans="1:6" x14ac:dyDescent="0.2">
      <c r="A273" s="26">
        <f t="shared" si="26"/>
        <v>202</v>
      </c>
      <c r="B273" s="22">
        <f t="shared" si="27"/>
        <v>803688.15182953991</v>
      </c>
      <c r="C273" s="28">
        <f t="shared" si="28"/>
        <v>-9348.8369735646374</v>
      </c>
      <c r="D273" s="28">
        <f t="shared" si="23"/>
        <v>2327.1786737301745</v>
      </c>
      <c r="E273" s="28">
        <f t="shared" si="24"/>
        <v>-7021.6582998344629</v>
      </c>
      <c r="F273" s="23">
        <f t="shared" si="25"/>
        <v>796666.49352970545</v>
      </c>
    </row>
    <row r="274" spans="1:6" x14ac:dyDescent="0.2">
      <c r="A274" s="26">
        <f t="shared" si="26"/>
        <v>203</v>
      </c>
      <c r="B274" s="22">
        <f t="shared" si="27"/>
        <v>796666.49352970545</v>
      </c>
      <c r="C274" s="28">
        <f t="shared" si="28"/>
        <v>-9348.8369735646374</v>
      </c>
      <c r="D274" s="28">
        <f t="shared" si="23"/>
        <v>2306.846591675217</v>
      </c>
      <c r="E274" s="28">
        <f t="shared" si="24"/>
        <v>-7041.99038188942</v>
      </c>
      <c r="F274" s="23">
        <f t="shared" si="25"/>
        <v>789624.50314781605</v>
      </c>
    </row>
    <row r="275" spans="1:6" x14ac:dyDescent="0.2">
      <c r="A275" s="26">
        <f t="shared" si="26"/>
        <v>204</v>
      </c>
      <c r="B275" s="22">
        <f t="shared" si="27"/>
        <v>789624.50314781605</v>
      </c>
      <c r="C275" s="28">
        <f t="shared" si="28"/>
        <v>-9348.8369735646374</v>
      </c>
      <c r="D275" s="28">
        <f t="shared" si="23"/>
        <v>2286.4556355561804</v>
      </c>
      <c r="E275" s="28">
        <f t="shared" si="24"/>
        <v>-7062.3813380084575</v>
      </c>
      <c r="F275" s="23">
        <f t="shared" si="25"/>
        <v>782562.12180980761</v>
      </c>
    </row>
    <row r="276" spans="1:6" x14ac:dyDescent="0.2">
      <c r="A276" s="26">
        <f t="shared" si="26"/>
        <v>205</v>
      </c>
      <c r="B276" s="22">
        <f t="shared" si="27"/>
        <v>782562.12180980761</v>
      </c>
      <c r="C276" s="28">
        <f t="shared" si="28"/>
        <v>-9348.8369735646374</v>
      </c>
      <c r="D276" s="28">
        <f t="shared" si="23"/>
        <v>2266.0056348959129</v>
      </c>
      <c r="E276" s="28">
        <f t="shared" si="24"/>
        <v>-7082.8313386687241</v>
      </c>
      <c r="F276" s="23">
        <f t="shared" si="25"/>
        <v>775479.2904711389</v>
      </c>
    </row>
    <row r="277" spans="1:6" x14ac:dyDescent="0.2">
      <c r="A277" s="26">
        <f t="shared" si="26"/>
        <v>206</v>
      </c>
      <c r="B277" s="22">
        <f t="shared" si="27"/>
        <v>775479.2904711389</v>
      </c>
      <c r="C277" s="28">
        <f t="shared" si="28"/>
        <v>-9348.8369735646374</v>
      </c>
      <c r="D277" s="28">
        <f t="shared" si="23"/>
        <v>2245.496418723626</v>
      </c>
      <c r="E277" s="28">
        <f t="shared" si="24"/>
        <v>-7103.3405548410119</v>
      </c>
      <c r="F277" s="23">
        <f t="shared" si="25"/>
        <v>768375.94991629792</v>
      </c>
    </row>
    <row r="278" spans="1:6" x14ac:dyDescent="0.2">
      <c r="A278" s="26">
        <f t="shared" si="26"/>
        <v>207</v>
      </c>
      <c r="B278" s="22">
        <f t="shared" si="27"/>
        <v>768375.94991629792</v>
      </c>
      <c r="C278" s="28">
        <f t="shared" si="28"/>
        <v>-9348.8369735646374</v>
      </c>
      <c r="D278" s="28">
        <f t="shared" si="23"/>
        <v>2224.9278155734646</v>
      </c>
      <c r="E278" s="28">
        <f t="shared" si="24"/>
        <v>-7123.9091579911728</v>
      </c>
      <c r="F278" s="23">
        <f t="shared" si="25"/>
        <v>761252.04075830674</v>
      </c>
    </row>
    <row r="279" spans="1:6" x14ac:dyDescent="0.2">
      <c r="A279" s="26">
        <f t="shared" si="26"/>
        <v>208</v>
      </c>
      <c r="B279" s="22">
        <f t="shared" si="27"/>
        <v>761252.04075830674</v>
      </c>
      <c r="C279" s="28">
        <f t="shared" si="28"/>
        <v>-9348.8369735646374</v>
      </c>
      <c r="D279" s="28">
        <f t="shared" si="23"/>
        <v>2204.2996534830718</v>
      </c>
      <c r="E279" s="28">
        <f t="shared" si="24"/>
        <v>-7144.5373200815657</v>
      </c>
      <c r="F279" s="23">
        <f t="shared" si="25"/>
        <v>754107.50343822513</v>
      </c>
    </row>
    <row r="280" spans="1:6" x14ac:dyDescent="0.2">
      <c r="A280" s="26">
        <f t="shared" si="26"/>
        <v>209</v>
      </c>
      <c r="B280" s="22">
        <f t="shared" si="27"/>
        <v>754107.50343822513</v>
      </c>
      <c r="C280" s="28">
        <f t="shared" si="28"/>
        <v>-9348.8369735646374</v>
      </c>
      <c r="D280" s="28">
        <f t="shared" si="23"/>
        <v>2183.6117599921522</v>
      </c>
      <c r="E280" s="28">
        <f t="shared" si="24"/>
        <v>-7165.2252135724848</v>
      </c>
      <c r="F280" s="23">
        <f t="shared" si="25"/>
        <v>746942.27822465263</v>
      </c>
    </row>
    <row r="281" spans="1:6" x14ac:dyDescent="0.2">
      <c r="A281" s="26">
        <f t="shared" si="26"/>
        <v>210</v>
      </c>
      <c r="B281" s="22">
        <f t="shared" si="27"/>
        <v>746942.27822465263</v>
      </c>
      <c r="C281" s="28">
        <f t="shared" si="28"/>
        <v>-9348.8369735646374</v>
      </c>
      <c r="D281" s="28">
        <f t="shared" si="23"/>
        <v>2162.8639621410321</v>
      </c>
      <c r="E281" s="28">
        <f t="shared" si="24"/>
        <v>-7185.9730114236054</v>
      </c>
      <c r="F281" s="23">
        <f t="shared" si="25"/>
        <v>739756.30521322903</v>
      </c>
    </row>
    <row r="282" spans="1:6" x14ac:dyDescent="0.2">
      <c r="A282" s="26">
        <f t="shared" si="26"/>
        <v>211</v>
      </c>
      <c r="B282" s="22">
        <f t="shared" si="27"/>
        <v>739756.30521322903</v>
      </c>
      <c r="C282" s="28">
        <f t="shared" si="28"/>
        <v>-9348.8369735646374</v>
      </c>
      <c r="D282" s="28">
        <f t="shared" si="23"/>
        <v>2142.0560864692102</v>
      </c>
      <c r="E282" s="28">
        <f t="shared" si="24"/>
        <v>-7206.7808870954268</v>
      </c>
      <c r="F282" s="23">
        <f t="shared" si="25"/>
        <v>732549.52432613366</v>
      </c>
    </row>
    <row r="283" spans="1:6" x14ac:dyDescent="0.2">
      <c r="A283" s="26">
        <f t="shared" si="26"/>
        <v>212</v>
      </c>
      <c r="B283" s="22">
        <f t="shared" si="27"/>
        <v>732549.52432613366</v>
      </c>
      <c r="C283" s="28">
        <f t="shared" si="28"/>
        <v>-9348.8369735646374</v>
      </c>
      <c r="D283" s="28">
        <f t="shared" si="23"/>
        <v>2121.1879590139083</v>
      </c>
      <c r="E283" s="28">
        <f t="shared" si="24"/>
        <v>-7227.6490145507287</v>
      </c>
      <c r="F283" s="23">
        <f t="shared" si="25"/>
        <v>725321.87531158293</v>
      </c>
    </row>
    <row r="284" spans="1:6" x14ac:dyDescent="0.2">
      <c r="A284" s="26">
        <f t="shared" si="26"/>
        <v>213</v>
      </c>
      <c r="B284" s="22">
        <f t="shared" si="27"/>
        <v>725321.87531158293</v>
      </c>
      <c r="C284" s="28">
        <f t="shared" si="28"/>
        <v>-9348.8369735646374</v>
      </c>
      <c r="D284" s="28">
        <f t="shared" si="23"/>
        <v>2100.2594053086191</v>
      </c>
      <c r="E284" s="28">
        <f t="shared" si="24"/>
        <v>-7248.5775682560179</v>
      </c>
      <c r="F284" s="23">
        <f t="shared" si="25"/>
        <v>718073.29774332687</v>
      </c>
    </row>
    <row r="285" spans="1:6" x14ac:dyDescent="0.2">
      <c r="A285" s="26">
        <f t="shared" si="26"/>
        <v>214</v>
      </c>
      <c r="B285" s="22">
        <f t="shared" si="27"/>
        <v>718073.29774332687</v>
      </c>
      <c r="C285" s="28">
        <f t="shared" si="28"/>
        <v>-9348.8369735646374</v>
      </c>
      <c r="D285" s="28">
        <f t="shared" si="23"/>
        <v>2079.270250381644</v>
      </c>
      <c r="E285" s="28">
        <f t="shared" si="24"/>
        <v>-7269.5667231829939</v>
      </c>
      <c r="F285" s="23">
        <f t="shared" si="25"/>
        <v>710803.73102014384</v>
      </c>
    </row>
    <row r="286" spans="1:6" x14ac:dyDescent="0.2">
      <c r="A286" s="26">
        <f t="shared" si="26"/>
        <v>215</v>
      </c>
      <c r="B286" s="22">
        <f t="shared" si="27"/>
        <v>710803.73102014384</v>
      </c>
      <c r="C286" s="28">
        <f t="shared" si="28"/>
        <v>-9348.8369735646374</v>
      </c>
      <c r="D286" s="28">
        <f t="shared" si="23"/>
        <v>2058.2203187546338</v>
      </c>
      <c r="E286" s="28">
        <f t="shared" si="24"/>
        <v>-7290.6166548100036</v>
      </c>
      <c r="F286" s="23">
        <f t="shared" si="25"/>
        <v>703513.11436533381</v>
      </c>
    </row>
    <row r="287" spans="1:6" x14ac:dyDescent="0.2">
      <c r="A287" s="26">
        <f t="shared" si="26"/>
        <v>216</v>
      </c>
      <c r="B287" s="22">
        <f t="shared" si="27"/>
        <v>703513.11436533381</v>
      </c>
      <c r="C287" s="28">
        <f t="shared" si="28"/>
        <v>-9348.8369735646374</v>
      </c>
      <c r="D287" s="28">
        <f t="shared" si="23"/>
        <v>2037.1094344411188</v>
      </c>
      <c r="E287" s="28">
        <f t="shared" si="24"/>
        <v>-7311.7275391235189</v>
      </c>
      <c r="F287" s="23">
        <f t="shared" si="25"/>
        <v>696201.38682621031</v>
      </c>
    </row>
    <row r="288" spans="1:6" x14ac:dyDescent="0.2">
      <c r="A288" s="26">
        <f t="shared" si="26"/>
        <v>217</v>
      </c>
      <c r="B288" s="22">
        <f t="shared" si="27"/>
        <v>696201.38682621031</v>
      </c>
      <c r="C288" s="28">
        <f t="shared" si="28"/>
        <v>-9348.8369735646374</v>
      </c>
      <c r="D288" s="28">
        <f t="shared" si="23"/>
        <v>2015.9374209450398</v>
      </c>
      <c r="E288" s="28">
        <f t="shared" si="24"/>
        <v>-7332.8995526195977</v>
      </c>
      <c r="F288" s="23">
        <f t="shared" si="25"/>
        <v>688868.48727359076</v>
      </c>
    </row>
    <row r="289" spans="1:6" x14ac:dyDescent="0.2">
      <c r="A289" s="26">
        <f t="shared" si="26"/>
        <v>218</v>
      </c>
      <c r="B289" s="22">
        <f t="shared" si="27"/>
        <v>688868.48727359076</v>
      </c>
      <c r="C289" s="28">
        <f t="shared" si="28"/>
        <v>-9348.8369735646374</v>
      </c>
      <c r="D289" s="28">
        <f t="shared" si="23"/>
        <v>1994.7041012592706</v>
      </c>
      <c r="E289" s="28">
        <f t="shared" si="24"/>
        <v>-7354.1328723053666</v>
      </c>
      <c r="F289" s="23">
        <f t="shared" si="25"/>
        <v>681514.35440128541</v>
      </c>
    </row>
    <row r="290" spans="1:6" x14ac:dyDescent="0.2">
      <c r="A290" s="26">
        <f t="shared" si="26"/>
        <v>219</v>
      </c>
      <c r="B290" s="22">
        <f t="shared" si="27"/>
        <v>681514.35440128541</v>
      </c>
      <c r="C290" s="28">
        <f t="shared" si="28"/>
        <v>-9348.8369735646374</v>
      </c>
      <c r="D290" s="28">
        <f t="shared" si="23"/>
        <v>1973.4092978641386</v>
      </c>
      <c r="E290" s="28">
        <f t="shared" si="24"/>
        <v>-7375.4276757004991</v>
      </c>
      <c r="F290" s="23">
        <f t="shared" si="25"/>
        <v>674138.9267255849</v>
      </c>
    </row>
    <row r="291" spans="1:6" x14ac:dyDescent="0.2">
      <c r="A291" s="26">
        <f t="shared" si="26"/>
        <v>220</v>
      </c>
      <c r="B291" s="22">
        <f t="shared" si="27"/>
        <v>674138.9267255849</v>
      </c>
      <c r="C291" s="28">
        <f t="shared" si="28"/>
        <v>-9348.8369735646374</v>
      </c>
      <c r="D291" s="28">
        <f t="shared" si="23"/>
        <v>1952.0528327259415</v>
      </c>
      <c r="E291" s="28">
        <f t="shared" si="24"/>
        <v>-7396.7841408386957</v>
      </c>
      <c r="F291" s="23">
        <f t="shared" si="25"/>
        <v>666742.14258474624</v>
      </c>
    </row>
    <row r="292" spans="1:6" x14ac:dyDescent="0.2">
      <c r="A292" s="26">
        <f t="shared" si="26"/>
        <v>221</v>
      </c>
      <c r="B292" s="22">
        <f t="shared" si="27"/>
        <v>666742.14258474624</v>
      </c>
      <c r="C292" s="28">
        <f t="shared" si="28"/>
        <v>-9348.8369735646374</v>
      </c>
      <c r="D292" s="28">
        <f t="shared" si="23"/>
        <v>1930.6345272954588</v>
      </c>
      <c r="E292" s="28">
        <f t="shared" si="24"/>
        <v>-7418.2024462691788</v>
      </c>
      <c r="F292" s="23">
        <f t="shared" si="25"/>
        <v>659323.94013847702</v>
      </c>
    </row>
    <row r="293" spans="1:6" x14ac:dyDescent="0.2">
      <c r="A293" s="26">
        <f t="shared" si="26"/>
        <v>222</v>
      </c>
      <c r="B293" s="22">
        <f t="shared" si="27"/>
        <v>659323.94013847702</v>
      </c>
      <c r="C293" s="28">
        <f t="shared" si="28"/>
        <v>-9348.8369735646374</v>
      </c>
      <c r="D293" s="28">
        <f t="shared" si="23"/>
        <v>1909.1542025064573</v>
      </c>
      <c r="E293" s="28">
        <f t="shared" si="24"/>
        <v>-7439.6827710581802</v>
      </c>
      <c r="F293" s="23">
        <f t="shared" si="25"/>
        <v>651884.25736741885</v>
      </c>
    </row>
    <row r="294" spans="1:6" x14ac:dyDescent="0.2">
      <c r="A294" s="26">
        <f t="shared" si="26"/>
        <v>223</v>
      </c>
      <c r="B294" s="22">
        <f t="shared" si="27"/>
        <v>651884.25736741885</v>
      </c>
      <c r="C294" s="28">
        <f t="shared" si="28"/>
        <v>-9348.8369735646374</v>
      </c>
      <c r="D294" s="28">
        <f t="shared" si="23"/>
        <v>1887.6116787741969</v>
      </c>
      <c r="E294" s="28">
        <f t="shared" si="24"/>
        <v>-7461.2252947904408</v>
      </c>
      <c r="F294" s="23">
        <f t="shared" si="25"/>
        <v>644423.03207262838</v>
      </c>
    </row>
    <row r="295" spans="1:6" x14ac:dyDescent="0.2">
      <c r="A295" s="26">
        <f t="shared" si="26"/>
        <v>224</v>
      </c>
      <c r="B295" s="22">
        <f t="shared" si="27"/>
        <v>644423.03207262838</v>
      </c>
      <c r="C295" s="28">
        <f t="shared" si="28"/>
        <v>-9348.8369735646374</v>
      </c>
      <c r="D295" s="28">
        <f t="shared" si="23"/>
        <v>1866.0067759939263</v>
      </c>
      <c r="E295" s="28">
        <f t="shared" si="24"/>
        <v>-7482.8301975707109</v>
      </c>
      <c r="F295" s="23">
        <f t="shared" si="25"/>
        <v>636940.20187505765</v>
      </c>
    </row>
    <row r="296" spans="1:6" x14ac:dyDescent="0.2">
      <c r="A296" s="26">
        <f t="shared" si="26"/>
        <v>225</v>
      </c>
      <c r="B296" s="22">
        <f t="shared" si="27"/>
        <v>636940.20187505765</v>
      </c>
      <c r="C296" s="28">
        <f t="shared" si="28"/>
        <v>-9348.8369735646374</v>
      </c>
      <c r="D296" s="28">
        <f t="shared" si="23"/>
        <v>1844.3393135393796</v>
      </c>
      <c r="E296" s="28">
        <f t="shared" si="24"/>
        <v>-7504.4976600252576</v>
      </c>
      <c r="F296" s="23">
        <f t="shared" si="25"/>
        <v>629435.7042150324</v>
      </c>
    </row>
    <row r="297" spans="1:6" x14ac:dyDescent="0.2">
      <c r="A297" s="26">
        <f t="shared" si="26"/>
        <v>226</v>
      </c>
      <c r="B297" s="22">
        <f t="shared" si="27"/>
        <v>629435.7042150324</v>
      </c>
      <c r="C297" s="28">
        <f t="shared" si="28"/>
        <v>-9348.8369735646374</v>
      </c>
      <c r="D297" s="28">
        <f t="shared" si="23"/>
        <v>1822.609110261264</v>
      </c>
      <c r="E297" s="28">
        <f t="shared" si="24"/>
        <v>-7526.2278633033729</v>
      </c>
      <c r="F297" s="23">
        <f t="shared" si="25"/>
        <v>621909.47635172901</v>
      </c>
    </row>
    <row r="298" spans="1:6" x14ac:dyDescent="0.2">
      <c r="A298" s="26">
        <f t="shared" si="26"/>
        <v>227</v>
      </c>
      <c r="B298" s="22">
        <f t="shared" si="27"/>
        <v>621909.47635172901</v>
      </c>
      <c r="C298" s="28">
        <f t="shared" si="28"/>
        <v>-9348.8369735646374</v>
      </c>
      <c r="D298" s="28">
        <f t="shared" si="23"/>
        <v>1800.8159844857478</v>
      </c>
      <c r="E298" s="28">
        <f t="shared" si="24"/>
        <v>-7548.0209890788901</v>
      </c>
      <c r="F298" s="23">
        <f t="shared" si="25"/>
        <v>614361.4553626501</v>
      </c>
    </row>
    <row r="299" spans="1:6" x14ac:dyDescent="0.2">
      <c r="A299" s="26">
        <f t="shared" si="26"/>
        <v>228</v>
      </c>
      <c r="B299" s="22">
        <f t="shared" si="27"/>
        <v>614361.4553626501</v>
      </c>
      <c r="C299" s="28">
        <f t="shared" si="28"/>
        <v>-9348.8369735646374</v>
      </c>
      <c r="D299" s="28">
        <f t="shared" si="23"/>
        <v>1778.9597540129389</v>
      </c>
      <c r="E299" s="28">
        <f t="shared" si="24"/>
        <v>-7569.8772195516985</v>
      </c>
      <c r="F299" s="23">
        <f t="shared" si="25"/>
        <v>606791.57814309839</v>
      </c>
    </row>
    <row r="300" spans="1:6" x14ac:dyDescent="0.2">
      <c r="A300" s="26">
        <f t="shared" si="26"/>
        <v>229</v>
      </c>
      <c r="B300" s="22">
        <f t="shared" si="27"/>
        <v>606791.57814309839</v>
      </c>
      <c r="C300" s="28">
        <f t="shared" si="28"/>
        <v>-9348.8369735646374</v>
      </c>
      <c r="D300" s="28">
        <f t="shared" si="23"/>
        <v>1757.040236115364</v>
      </c>
      <c r="E300" s="28">
        <f t="shared" si="24"/>
        <v>-7591.7967374492737</v>
      </c>
      <c r="F300" s="23">
        <f t="shared" si="25"/>
        <v>599199.78140564915</v>
      </c>
    </row>
    <row r="301" spans="1:6" x14ac:dyDescent="0.2">
      <c r="A301" s="26">
        <f t="shared" si="26"/>
        <v>230</v>
      </c>
      <c r="B301" s="22">
        <f t="shared" si="27"/>
        <v>599199.78140564915</v>
      </c>
      <c r="C301" s="28">
        <f t="shared" si="28"/>
        <v>-9348.8369735646374</v>
      </c>
      <c r="D301" s="28">
        <f t="shared" si="23"/>
        <v>1735.0572475364388</v>
      </c>
      <c r="E301" s="28">
        <f t="shared" si="24"/>
        <v>-7613.7797260281986</v>
      </c>
      <c r="F301" s="23">
        <f t="shared" si="25"/>
        <v>591586.00167962094</v>
      </c>
    </row>
    <row r="302" spans="1:6" x14ac:dyDescent="0.2">
      <c r="A302" s="26">
        <f t="shared" si="26"/>
        <v>231</v>
      </c>
      <c r="B302" s="22">
        <f t="shared" si="27"/>
        <v>591586.00167962094</v>
      </c>
      <c r="C302" s="28">
        <f t="shared" si="28"/>
        <v>-9348.8369735646374</v>
      </c>
      <c r="D302" s="28">
        <f t="shared" si="23"/>
        <v>1713.0106044889374</v>
      </c>
      <c r="E302" s="28">
        <f t="shared" si="24"/>
        <v>-7635.8263690757003</v>
      </c>
      <c r="F302" s="23">
        <f t="shared" si="25"/>
        <v>583950.17531054525</v>
      </c>
    </row>
    <row r="303" spans="1:6" x14ac:dyDescent="0.2">
      <c r="A303" s="26">
        <f t="shared" si="26"/>
        <v>232</v>
      </c>
      <c r="B303" s="22">
        <f t="shared" si="27"/>
        <v>583950.17531054525</v>
      </c>
      <c r="C303" s="28">
        <f t="shared" si="28"/>
        <v>-9348.8369735646374</v>
      </c>
      <c r="D303" s="28">
        <f t="shared" si="23"/>
        <v>1690.9001226534549</v>
      </c>
      <c r="E303" s="28">
        <f t="shared" si="24"/>
        <v>-7657.9368509111828</v>
      </c>
      <c r="F303" s="23">
        <f t="shared" si="25"/>
        <v>576292.23845963401</v>
      </c>
    </row>
    <row r="304" spans="1:6" x14ac:dyDescent="0.2">
      <c r="A304" s="26">
        <f t="shared" si="26"/>
        <v>233</v>
      </c>
      <c r="B304" s="22">
        <f t="shared" si="27"/>
        <v>576292.23845963401</v>
      </c>
      <c r="C304" s="28">
        <f t="shared" si="28"/>
        <v>-9348.8369735646374</v>
      </c>
      <c r="D304" s="28">
        <f t="shared" si="23"/>
        <v>1668.725617176867</v>
      </c>
      <c r="E304" s="28">
        <f t="shared" si="24"/>
        <v>-7680.1113563877707</v>
      </c>
      <c r="F304" s="23">
        <f t="shared" si="25"/>
        <v>568612.12710324628</v>
      </c>
    </row>
    <row r="305" spans="1:6" x14ac:dyDescent="0.2">
      <c r="A305" s="26">
        <f t="shared" si="26"/>
        <v>234</v>
      </c>
      <c r="B305" s="22">
        <f t="shared" si="27"/>
        <v>568612.12710324628</v>
      </c>
      <c r="C305" s="28">
        <f t="shared" si="28"/>
        <v>-9348.8369735646374</v>
      </c>
      <c r="D305" s="28">
        <f t="shared" si="23"/>
        <v>1646.4869026707843</v>
      </c>
      <c r="E305" s="28">
        <f t="shared" si="24"/>
        <v>-7702.3500708938536</v>
      </c>
      <c r="F305" s="23">
        <f t="shared" si="25"/>
        <v>560909.7770323524</v>
      </c>
    </row>
    <row r="306" spans="1:6" x14ac:dyDescent="0.2">
      <c r="A306" s="26">
        <f t="shared" si="26"/>
        <v>235</v>
      </c>
      <c r="B306" s="22">
        <f t="shared" si="27"/>
        <v>560909.7770323524</v>
      </c>
      <c r="C306" s="28">
        <f t="shared" si="28"/>
        <v>-9348.8369735646374</v>
      </c>
      <c r="D306" s="28">
        <f t="shared" si="23"/>
        <v>1624.1837932100016</v>
      </c>
      <c r="E306" s="28">
        <f t="shared" si="24"/>
        <v>-7724.6531803546359</v>
      </c>
      <c r="F306" s="23">
        <f t="shared" si="25"/>
        <v>553185.12385199778</v>
      </c>
    </row>
    <row r="307" spans="1:6" x14ac:dyDescent="0.2">
      <c r="A307" s="26">
        <f t="shared" si="26"/>
        <v>236</v>
      </c>
      <c r="B307" s="22">
        <f t="shared" si="27"/>
        <v>553185.12385199778</v>
      </c>
      <c r="C307" s="28">
        <f t="shared" si="28"/>
        <v>-9348.8369735646374</v>
      </c>
      <c r="D307" s="28">
        <f t="shared" si="23"/>
        <v>1601.8161023309451</v>
      </c>
      <c r="E307" s="28">
        <f t="shared" si="24"/>
        <v>-7747.0208712336926</v>
      </c>
      <c r="F307" s="23">
        <f t="shared" si="25"/>
        <v>545438.10298076412</v>
      </c>
    </row>
    <row r="308" spans="1:6" x14ac:dyDescent="0.2">
      <c r="A308" s="26">
        <f t="shared" si="26"/>
        <v>237</v>
      </c>
      <c r="B308" s="22">
        <f t="shared" si="27"/>
        <v>545438.10298076412</v>
      </c>
      <c r="C308" s="28">
        <f t="shared" si="28"/>
        <v>-9348.8369735646374</v>
      </c>
      <c r="D308" s="28">
        <f t="shared" si="23"/>
        <v>1579.3836430301126</v>
      </c>
      <c r="E308" s="28">
        <f t="shared" si="24"/>
        <v>-7769.4533305345249</v>
      </c>
      <c r="F308" s="23">
        <f t="shared" si="25"/>
        <v>537668.64965022961</v>
      </c>
    </row>
    <row r="309" spans="1:6" x14ac:dyDescent="0.2">
      <c r="A309" s="26">
        <f t="shared" si="26"/>
        <v>238</v>
      </c>
      <c r="B309" s="22">
        <f t="shared" si="27"/>
        <v>537668.64965022961</v>
      </c>
      <c r="C309" s="28">
        <f t="shared" si="28"/>
        <v>-9348.8369735646374</v>
      </c>
      <c r="D309" s="28">
        <f t="shared" si="23"/>
        <v>1556.8862277625092</v>
      </c>
      <c r="E309" s="28">
        <f t="shared" si="24"/>
        <v>-7791.950745802128</v>
      </c>
      <c r="F309" s="23">
        <f t="shared" si="25"/>
        <v>529876.69890442747</v>
      </c>
    </row>
    <row r="310" spans="1:6" x14ac:dyDescent="0.2">
      <c r="A310" s="26">
        <f t="shared" si="26"/>
        <v>239</v>
      </c>
      <c r="B310" s="22">
        <f t="shared" si="27"/>
        <v>529876.69890442747</v>
      </c>
      <c r="C310" s="28">
        <f t="shared" si="28"/>
        <v>-9348.8369735646374</v>
      </c>
      <c r="D310" s="28">
        <f t="shared" si="23"/>
        <v>1534.3236684400811</v>
      </c>
      <c r="E310" s="28">
        <f t="shared" si="24"/>
        <v>-7814.5133051245566</v>
      </c>
      <c r="F310" s="23">
        <f t="shared" si="25"/>
        <v>522062.18559930293</v>
      </c>
    </row>
    <row r="311" spans="1:6" x14ac:dyDescent="0.2">
      <c r="A311" s="26">
        <f t="shared" si="26"/>
        <v>240</v>
      </c>
      <c r="B311" s="22">
        <f t="shared" si="27"/>
        <v>522062.18559930293</v>
      </c>
      <c r="C311" s="28">
        <f t="shared" si="28"/>
        <v>-9348.8369735646374</v>
      </c>
      <c r="D311" s="28">
        <f t="shared" si="23"/>
        <v>1511.6957764301417</v>
      </c>
      <c r="E311" s="28">
        <f t="shared" si="24"/>
        <v>-7837.141197134496</v>
      </c>
      <c r="F311" s="23">
        <f t="shared" si="25"/>
        <v>514225.04440216842</v>
      </c>
    </row>
    <row r="312" spans="1:6" x14ac:dyDescent="0.2">
      <c r="A312" s="26">
        <f t="shared" si="26"/>
        <v>241</v>
      </c>
      <c r="B312" s="22">
        <f t="shared" si="27"/>
        <v>514225.04440216842</v>
      </c>
      <c r="C312" s="28">
        <f t="shared" si="28"/>
        <v>-9348.8369735646374</v>
      </c>
      <c r="D312" s="28">
        <f t="shared" si="23"/>
        <v>1489.0023625537954</v>
      </c>
      <c r="E312" s="28">
        <f t="shared" si="24"/>
        <v>-7859.8346110108423</v>
      </c>
      <c r="F312" s="23">
        <f t="shared" si="25"/>
        <v>506365.20979115757</v>
      </c>
    </row>
    <row r="313" spans="1:6" x14ac:dyDescent="0.2">
      <c r="A313" s="26">
        <f t="shared" si="26"/>
        <v>242</v>
      </c>
      <c r="B313" s="22">
        <f t="shared" si="27"/>
        <v>506365.20979115757</v>
      </c>
      <c r="C313" s="28">
        <f t="shared" si="28"/>
        <v>-9348.8369735646374</v>
      </c>
      <c r="D313" s="28">
        <f t="shared" si="23"/>
        <v>1466.2432370843555</v>
      </c>
      <c r="E313" s="28">
        <f t="shared" si="24"/>
        <v>-7882.5937364802821</v>
      </c>
      <c r="F313" s="23">
        <f t="shared" si="25"/>
        <v>498482.61605467729</v>
      </c>
    </row>
    <row r="314" spans="1:6" x14ac:dyDescent="0.2">
      <c r="A314" s="26">
        <f t="shared" si="26"/>
        <v>243</v>
      </c>
      <c r="B314" s="22">
        <f t="shared" si="27"/>
        <v>498482.61605467729</v>
      </c>
      <c r="C314" s="28">
        <f t="shared" si="28"/>
        <v>-9348.8369735646374</v>
      </c>
      <c r="D314" s="28">
        <f t="shared" si="23"/>
        <v>1443.4182097457583</v>
      </c>
      <c r="E314" s="28">
        <f t="shared" si="24"/>
        <v>-7905.4187638188796</v>
      </c>
      <c r="F314" s="23">
        <f t="shared" si="25"/>
        <v>490577.19729085843</v>
      </c>
    </row>
    <row r="315" spans="1:6" x14ac:dyDescent="0.2">
      <c r="A315" s="26">
        <f t="shared" si="26"/>
        <v>244</v>
      </c>
      <c r="B315" s="22">
        <f t="shared" si="27"/>
        <v>490577.19729085843</v>
      </c>
      <c r="C315" s="28">
        <f t="shared" si="28"/>
        <v>-9348.8369735646374</v>
      </c>
      <c r="D315" s="28">
        <f t="shared" si="23"/>
        <v>1420.5270897109719</v>
      </c>
      <c r="E315" s="28">
        <f t="shared" si="24"/>
        <v>-7928.3098838536653</v>
      </c>
      <c r="F315" s="23">
        <f t="shared" si="25"/>
        <v>482648.88740700478</v>
      </c>
    </row>
    <row r="316" spans="1:6" x14ac:dyDescent="0.2">
      <c r="A316" s="26">
        <f t="shared" si="26"/>
        <v>245</v>
      </c>
      <c r="B316" s="22">
        <f t="shared" si="27"/>
        <v>482648.88740700478</v>
      </c>
      <c r="C316" s="28">
        <f t="shared" si="28"/>
        <v>-9348.8369735646374</v>
      </c>
      <c r="D316" s="28">
        <f t="shared" si="23"/>
        <v>1397.5696856004013</v>
      </c>
      <c r="E316" s="28">
        <f t="shared" si="24"/>
        <v>-7951.2672879642359</v>
      </c>
      <c r="F316" s="23">
        <f t="shared" si="25"/>
        <v>474697.62011904054</v>
      </c>
    </row>
    <row r="317" spans="1:6" x14ac:dyDescent="0.2">
      <c r="A317" s="26">
        <f t="shared" si="26"/>
        <v>246</v>
      </c>
      <c r="B317" s="22">
        <f t="shared" si="27"/>
        <v>474697.62011904054</v>
      </c>
      <c r="C317" s="28">
        <f t="shared" si="28"/>
        <v>-9348.8369735646374</v>
      </c>
      <c r="D317" s="28">
        <f t="shared" si="23"/>
        <v>1374.545805480288</v>
      </c>
      <c r="E317" s="28">
        <f t="shared" si="24"/>
        <v>-7974.2911680843499</v>
      </c>
      <c r="F317" s="23">
        <f t="shared" si="25"/>
        <v>466723.32895095617</v>
      </c>
    </row>
    <row r="318" spans="1:6" x14ac:dyDescent="0.2">
      <c r="A318" s="26">
        <f t="shared" si="26"/>
        <v>247</v>
      </c>
      <c r="B318" s="22">
        <f t="shared" si="27"/>
        <v>466723.32895095617</v>
      </c>
      <c r="C318" s="28">
        <f t="shared" si="28"/>
        <v>-9348.8369735646374</v>
      </c>
      <c r="D318" s="28">
        <f t="shared" si="23"/>
        <v>1351.4552568611057</v>
      </c>
      <c r="E318" s="28">
        <f t="shared" si="24"/>
        <v>-7997.3817167035322</v>
      </c>
      <c r="F318" s="23">
        <f t="shared" si="25"/>
        <v>458725.94723425264</v>
      </c>
    </row>
    <row r="319" spans="1:6" x14ac:dyDescent="0.2">
      <c r="A319" s="26">
        <f t="shared" si="26"/>
        <v>248</v>
      </c>
      <c r="B319" s="22">
        <f t="shared" si="27"/>
        <v>458725.94723425264</v>
      </c>
      <c r="C319" s="28">
        <f t="shared" si="28"/>
        <v>-9348.8369735646374</v>
      </c>
      <c r="D319" s="28">
        <f t="shared" si="23"/>
        <v>1328.2978466959505</v>
      </c>
      <c r="E319" s="28">
        <f t="shared" si="24"/>
        <v>-8020.5391268686872</v>
      </c>
      <c r="F319" s="23">
        <f t="shared" si="25"/>
        <v>450705.40810738393</v>
      </c>
    </row>
    <row r="320" spans="1:6" x14ac:dyDescent="0.2">
      <c r="A320" s="26">
        <f t="shared" si="26"/>
        <v>249</v>
      </c>
      <c r="B320" s="22">
        <f t="shared" si="27"/>
        <v>450705.40810738393</v>
      </c>
      <c r="C320" s="28">
        <f t="shared" si="28"/>
        <v>-9348.8369735646374</v>
      </c>
      <c r="D320" s="28">
        <f t="shared" si="23"/>
        <v>1305.0733813789277</v>
      </c>
      <c r="E320" s="28">
        <f t="shared" si="24"/>
        <v>-8043.76359218571</v>
      </c>
      <c r="F320" s="23">
        <f t="shared" si="25"/>
        <v>442661.64451519825</v>
      </c>
    </row>
    <row r="321" spans="1:6" x14ac:dyDescent="0.2">
      <c r="A321" s="26">
        <f t="shared" si="26"/>
        <v>250</v>
      </c>
      <c r="B321" s="22">
        <f t="shared" si="27"/>
        <v>442661.64451519825</v>
      </c>
      <c r="C321" s="28">
        <f t="shared" si="28"/>
        <v>-9348.8369735646374</v>
      </c>
      <c r="D321" s="28">
        <f t="shared" si="23"/>
        <v>1281.7816667435327</v>
      </c>
      <c r="E321" s="28">
        <f t="shared" si="24"/>
        <v>-8067.0553068211048</v>
      </c>
      <c r="F321" s="23">
        <f t="shared" si="25"/>
        <v>434594.58920837712</v>
      </c>
    </row>
    <row r="322" spans="1:6" x14ac:dyDescent="0.2">
      <c r="A322" s="26">
        <f t="shared" si="26"/>
        <v>251</v>
      </c>
      <c r="B322" s="22">
        <f t="shared" si="27"/>
        <v>434594.58920837712</v>
      </c>
      <c r="C322" s="28">
        <f t="shared" si="28"/>
        <v>-9348.8369735646374</v>
      </c>
      <c r="D322" s="28">
        <f t="shared" si="23"/>
        <v>1258.422508061027</v>
      </c>
      <c r="E322" s="28">
        <f t="shared" si="24"/>
        <v>-8090.4144655036107</v>
      </c>
      <c r="F322" s="23">
        <f t="shared" si="25"/>
        <v>426504.17474287353</v>
      </c>
    </row>
    <row r="323" spans="1:6" x14ac:dyDescent="0.2">
      <c r="A323" s="26">
        <f t="shared" si="26"/>
        <v>252</v>
      </c>
      <c r="B323" s="22">
        <f t="shared" si="27"/>
        <v>426504.17474287353</v>
      </c>
      <c r="C323" s="28">
        <f t="shared" si="28"/>
        <v>-9348.8369735646374</v>
      </c>
      <c r="D323" s="28">
        <f t="shared" si="23"/>
        <v>1234.9957100388117</v>
      </c>
      <c r="E323" s="28">
        <f t="shared" si="24"/>
        <v>-8113.8412635258255</v>
      </c>
      <c r="F323" s="23">
        <f t="shared" si="25"/>
        <v>418390.3334793477</v>
      </c>
    </row>
    <row r="324" spans="1:6" x14ac:dyDescent="0.2">
      <c r="A324" s="26">
        <f t="shared" si="26"/>
        <v>253</v>
      </c>
      <c r="B324" s="22">
        <f t="shared" si="27"/>
        <v>418390.3334793477</v>
      </c>
      <c r="C324" s="28">
        <f t="shared" si="28"/>
        <v>-9348.8369735646374</v>
      </c>
      <c r="D324" s="28">
        <f t="shared" si="23"/>
        <v>1211.5010768187938</v>
      </c>
      <c r="E324" s="28">
        <f t="shared" si="24"/>
        <v>-8137.3358967458435</v>
      </c>
      <c r="F324" s="23">
        <f t="shared" si="25"/>
        <v>410252.99758260185</v>
      </c>
    </row>
    <row r="325" spans="1:6" x14ac:dyDescent="0.2">
      <c r="A325" s="26">
        <f t="shared" si="26"/>
        <v>254</v>
      </c>
      <c r="B325" s="22">
        <f t="shared" si="27"/>
        <v>410252.99758260185</v>
      </c>
      <c r="C325" s="28">
        <f t="shared" si="28"/>
        <v>-9348.8369735646374</v>
      </c>
      <c r="D325" s="28">
        <f t="shared" si="23"/>
        <v>1187.9384119757485</v>
      </c>
      <c r="E325" s="28">
        <f t="shared" si="24"/>
        <v>-8160.8985615888887</v>
      </c>
      <c r="F325" s="23">
        <f t="shared" si="25"/>
        <v>402092.09902101295</v>
      </c>
    </row>
    <row r="326" spans="1:6" x14ac:dyDescent="0.2">
      <c r="A326" s="26">
        <f t="shared" si="26"/>
        <v>255</v>
      </c>
      <c r="B326" s="22">
        <f t="shared" si="27"/>
        <v>402092.09902101295</v>
      </c>
      <c r="C326" s="28">
        <f t="shared" si="28"/>
        <v>-9348.8369735646374</v>
      </c>
      <c r="D326" s="28">
        <f t="shared" si="23"/>
        <v>1164.3075185156779</v>
      </c>
      <c r="E326" s="28">
        <f t="shared" si="24"/>
        <v>-8184.5294550489598</v>
      </c>
      <c r="F326" s="23">
        <f t="shared" si="25"/>
        <v>393907.56956596399</v>
      </c>
    </row>
    <row r="327" spans="1:6" x14ac:dyDescent="0.2">
      <c r="A327" s="26">
        <f t="shared" si="26"/>
        <v>256</v>
      </c>
      <c r="B327" s="22">
        <f t="shared" si="27"/>
        <v>393907.56956596399</v>
      </c>
      <c r="C327" s="28">
        <f t="shared" si="28"/>
        <v>-9348.8369735646374</v>
      </c>
      <c r="D327" s="28">
        <f t="shared" si="23"/>
        <v>1140.6081988741632</v>
      </c>
      <c r="E327" s="28">
        <f t="shared" si="24"/>
        <v>-8208.2287746904749</v>
      </c>
      <c r="F327" s="23">
        <f t="shared" si="25"/>
        <v>385699.34079127351</v>
      </c>
    </row>
    <row r="328" spans="1:6" x14ac:dyDescent="0.2">
      <c r="A328" s="26">
        <f t="shared" si="26"/>
        <v>257</v>
      </c>
      <c r="B328" s="22">
        <f t="shared" si="27"/>
        <v>385699.34079127351</v>
      </c>
      <c r="C328" s="28">
        <f t="shared" si="28"/>
        <v>-9348.8369735646374</v>
      </c>
      <c r="D328" s="28">
        <f t="shared" ref="D328:D371" si="29">+B328*$B$14</f>
        <v>1116.8402549147138</v>
      </c>
      <c r="E328" s="28">
        <f t="shared" ref="E328:E371" si="30">+C328+D328</f>
        <v>-8231.9967186499234</v>
      </c>
      <c r="F328" s="23">
        <f t="shared" ref="F328:F371" si="31">+B328+E328</f>
        <v>377467.34407262359</v>
      </c>
    </row>
    <row r="329" spans="1:6" x14ac:dyDescent="0.2">
      <c r="A329" s="26">
        <f t="shared" ref="A329:A371" si="32">1+A328</f>
        <v>258</v>
      </c>
      <c r="B329" s="22">
        <f t="shared" ref="B329:B371" si="33">F328</f>
        <v>377467.34407262359</v>
      </c>
      <c r="C329" s="28">
        <f t="shared" ref="C329:C371" si="34">C328</f>
        <v>-9348.8369735646374</v>
      </c>
      <c r="D329" s="28">
        <f t="shared" si="29"/>
        <v>1093.0034879271097</v>
      </c>
      <c r="E329" s="28">
        <f t="shared" si="30"/>
        <v>-8255.8334856375277</v>
      </c>
      <c r="F329" s="23">
        <f t="shared" si="31"/>
        <v>369211.51058698609</v>
      </c>
    </row>
    <row r="330" spans="1:6" x14ac:dyDescent="0.2">
      <c r="A330" s="26">
        <f t="shared" si="32"/>
        <v>259</v>
      </c>
      <c r="B330" s="22">
        <f t="shared" si="33"/>
        <v>369211.51058698609</v>
      </c>
      <c r="C330" s="28">
        <f t="shared" si="34"/>
        <v>-9348.8369735646374</v>
      </c>
      <c r="D330" s="28">
        <f t="shared" si="29"/>
        <v>1069.0976986257415</v>
      </c>
      <c r="E330" s="28">
        <f t="shared" si="30"/>
        <v>-8279.7392749388964</v>
      </c>
      <c r="F330" s="23">
        <f t="shared" si="31"/>
        <v>360931.7713120472</v>
      </c>
    </row>
    <row r="331" spans="1:6" x14ac:dyDescent="0.2">
      <c r="A331" s="26">
        <f t="shared" si="32"/>
        <v>260</v>
      </c>
      <c r="B331" s="22">
        <f t="shared" si="33"/>
        <v>360931.7713120472</v>
      </c>
      <c r="C331" s="28">
        <f t="shared" si="34"/>
        <v>-9348.8369735646374</v>
      </c>
      <c r="D331" s="28">
        <f t="shared" si="29"/>
        <v>1045.1226871479428</v>
      </c>
      <c r="E331" s="28">
        <f t="shared" si="30"/>
        <v>-8303.7142864166944</v>
      </c>
      <c r="F331" s="23">
        <f t="shared" si="31"/>
        <v>352628.05702563049</v>
      </c>
    </row>
    <row r="332" spans="1:6" x14ac:dyDescent="0.2">
      <c r="A332" s="26">
        <f t="shared" si="32"/>
        <v>261</v>
      </c>
      <c r="B332" s="22">
        <f t="shared" si="33"/>
        <v>352628.05702563049</v>
      </c>
      <c r="C332" s="28">
        <f t="shared" si="34"/>
        <v>-9348.8369735646374</v>
      </c>
      <c r="D332" s="28">
        <f t="shared" si="29"/>
        <v>1021.078253052321</v>
      </c>
      <c r="E332" s="28">
        <f t="shared" si="30"/>
        <v>-8327.7587205123164</v>
      </c>
      <c r="F332" s="23">
        <f t="shared" si="31"/>
        <v>344300.29830511817</v>
      </c>
    </row>
    <row r="333" spans="1:6" x14ac:dyDescent="0.2">
      <c r="A333" s="26">
        <f t="shared" si="32"/>
        <v>262</v>
      </c>
      <c r="B333" s="22">
        <f t="shared" si="33"/>
        <v>344300.29830511817</v>
      </c>
      <c r="C333" s="28">
        <f t="shared" si="34"/>
        <v>-9348.8369735646374</v>
      </c>
      <c r="D333" s="28">
        <f t="shared" si="29"/>
        <v>996.96419531707988</v>
      </c>
      <c r="E333" s="28">
        <f t="shared" si="30"/>
        <v>-8351.872778247558</v>
      </c>
      <c r="F333" s="23">
        <f t="shared" si="31"/>
        <v>335948.42552687059</v>
      </c>
    </row>
    <row r="334" spans="1:6" x14ac:dyDescent="0.2">
      <c r="A334" s="26">
        <f t="shared" si="32"/>
        <v>263</v>
      </c>
      <c r="B334" s="22">
        <f t="shared" si="33"/>
        <v>335948.42552687059</v>
      </c>
      <c r="C334" s="28">
        <f t="shared" si="34"/>
        <v>-9348.8369735646374</v>
      </c>
      <c r="D334" s="28">
        <f t="shared" si="29"/>
        <v>972.78031233833997</v>
      </c>
      <c r="E334" s="28">
        <f t="shared" si="30"/>
        <v>-8376.0566612262974</v>
      </c>
      <c r="F334" s="23">
        <f t="shared" si="31"/>
        <v>327572.36886564427</v>
      </c>
    </row>
    <row r="335" spans="1:6" x14ac:dyDescent="0.2">
      <c r="A335" s="26">
        <f t="shared" si="32"/>
        <v>264</v>
      </c>
      <c r="B335" s="22">
        <f t="shared" si="33"/>
        <v>327572.36886564427</v>
      </c>
      <c r="C335" s="28">
        <f t="shared" si="34"/>
        <v>-9348.8369735646374</v>
      </c>
      <c r="D335" s="28">
        <f t="shared" si="29"/>
        <v>948.52640192845274</v>
      </c>
      <c r="E335" s="28">
        <f t="shared" si="30"/>
        <v>-8400.3105716361842</v>
      </c>
      <c r="F335" s="23">
        <f t="shared" si="31"/>
        <v>319172.05829400808</v>
      </c>
    </row>
    <row r="336" spans="1:6" x14ac:dyDescent="0.2">
      <c r="A336" s="26">
        <f t="shared" si="32"/>
        <v>265</v>
      </c>
      <c r="B336" s="22">
        <f t="shared" si="33"/>
        <v>319172.05829400808</v>
      </c>
      <c r="C336" s="28">
        <f t="shared" si="34"/>
        <v>-9348.8369735646374</v>
      </c>
      <c r="D336" s="28">
        <f t="shared" si="29"/>
        <v>924.20226131431048</v>
      </c>
      <c r="E336" s="28">
        <f t="shared" si="30"/>
        <v>-8424.6347122503266</v>
      </c>
      <c r="F336" s="23">
        <f t="shared" si="31"/>
        <v>310747.42358175776</v>
      </c>
    </row>
    <row r="337" spans="1:6" x14ac:dyDescent="0.2">
      <c r="A337" s="26">
        <f t="shared" si="32"/>
        <v>266</v>
      </c>
      <c r="B337" s="22">
        <f t="shared" si="33"/>
        <v>310747.42358175776</v>
      </c>
      <c r="C337" s="28">
        <f t="shared" si="34"/>
        <v>-9348.8369735646374</v>
      </c>
      <c r="D337" s="28">
        <f t="shared" si="29"/>
        <v>899.80768713565044</v>
      </c>
      <c r="E337" s="28">
        <f t="shared" si="30"/>
        <v>-8449.0292864289877</v>
      </c>
      <c r="F337" s="23">
        <f t="shared" si="31"/>
        <v>302298.39429532876</v>
      </c>
    </row>
    <row r="338" spans="1:6" x14ac:dyDescent="0.2">
      <c r="A338" s="26">
        <f t="shared" si="32"/>
        <v>267</v>
      </c>
      <c r="B338" s="22">
        <f t="shared" si="33"/>
        <v>302298.39429532876</v>
      </c>
      <c r="C338" s="28">
        <f t="shared" si="34"/>
        <v>-9348.8369735646374</v>
      </c>
      <c r="D338" s="28">
        <f t="shared" si="29"/>
        <v>875.34247544335517</v>
      </c>
      <c r="E338" s="28">
        <f t="shared" si="30"/>
        <v>-8473.494498121283</v>
      </c>
      <c r="F338" s="23">
        <f t="shared" si="31"/>
        <v>293824.8997972075</v>
      </c>
    </row>
    <row r="339" spans="1:6" x14ac:dyDescent="0.2">
      <c r="A339" s="26">
        <f t="shared" si="32"/>
        <v>268</v>
      </c>
      <c r="B339" s="22">
        <f t="shared" si="33"/>
        <v>293824.8997972075</v>
      </c>
      <c r="C339" s="28">
        <f t="shared" si="34"/>
        <v>-9348.8369735646374</v>
      </c>
      <c r="D339" s="28">
        <f t="shared" si="29"/>
        <v>850.8064216977474</v>
      </c>
      <c r="E339" s="28">
        <f t="shared" si="30"/>
        <v>-8498.0305518668902</v>
      </c>
      <c r="F339" s="23">
        <f t="shared" si="31"/>
        <v>285326.86924534058</v>
      </c>
    </row>
    <row r="340" spans="1:6" x14ac:dyDescent="0.2">
      <c r="A340" s="26">
        <f t="shared" si="32"/>
        <v>269</v>
      </c>
      <c r="B340" s="22">
        <f t="shared" si="33"/>
        <v>285326.86924534058</v>
      </c>
      <c r="C340" s="28">
        <f t="shared" si="34"/>
        <v>-9348.8369735646374</v>
      </c>
      <c r="D340" s="28">
        <f t="shared" si="29"/>
        <v>826.19932076687951</v>
      </c>
      <c r="E340" s="28">
        <f t="shared" si="30"/>
        <v>-8522.6376527977573</v>
      </c>
      <c r="F340" s="23">
        <f t="shared" si="31"/>
        <v>276804.23159254284</v>
      </c>
    </row>
    <row r="341" spans="1:6" x14ac:dyDescent="0.2">
      <c r="A341" s="26">
        <f t="shared" si="32"/>
        <v>270</v>
      </c>
      <c r="B341" s="22">
        <f t="shared" si="33"/>
        <v>276804.23159254284</v>
      </c>
      <c r="C341" s="28">
        <f t="shared" si="34"/>
        <v>-9348.8369735646374</v>
      </c>
      <c r="D341" s="28">
        <f t="shared" si="29"/>
        <v>801.52096692481939</v>
      </c>
      <c r="E341" s="28">
        <f t="shared" si="30"/>
        <v>-8547.3160066398177</v>
      </c>
      <c r="F341" s="23">
        <f t="shared" si="31"/>
        <v>268256.91558590304</v>
      </c>
    </row>
    <row r="342" spans="1:6" x14ac:dyDescent="0.2">
      <c r="A342" s="26">
        <f t="shared" si="32"/>
        <v>271</v>
      </c>
      <c r="B342" s="22">
        <f t="shared" si="33"/>
        <v>268256.91558590304</v>
      </c>
      <c r="C342" s="28">
        <f t="shared" si="34"/>
        <v>-9348.8369735646374</v>
      </c>
      <c r="D342" s="28">
        <f t="shared" si="29"/>
        <v>776.77115384992976</v>
      </c>
      <c r="E342" s="28">
        <f t="shared" si="30"/>
        <v>-8572.0658197147077</v>
      </c>
      <c r="F342" s="23">
        <f t="shared" si="31"/>
        <v>259684.84976618833</v>
      </c>
    </row>
    <row r="343" spans="1:6" x14ac:dyDescent="0.2">
      <c r="A343" s="26">
        <f t="shared" si="32"/>
        <v>272</v>
      </c>
      <c r="B343" s="22">
        <f t="shared" si="33"/>
        <v>259684.84976618833</v>
      </c>
      <c r="C343" s="28">
        <f t="shared" si="34"/>
        <v>-9348.8369735646374</v>
      </c>
      <c r="D343" s="28">
        <f t="shared" si="29"/>
        <v>751.9496746231431</v>
      </c>
      <c r="E343" s="28">
        <f t="shared" si="30"/>
        <v>-8596.887298941494</v>
      </c>
      <c r="F343" s="23">
        <f t="shared" si="31"/>
        <v>251087.96246724683</v>
      </c>
    </row>
    <row r="344" spans="1:6" x14ac:dyDescent="0.2">
      <c r="A344" s="26">
        <f t="shared" si="32"/>
        <v>273</v>
      </c>
      <c r="B344" s="22">
        <f t="shared" si="33"/>
        <v>251087.96246724683</v>
      </c>
      <c r="C344" s="28">
        <f t="shared" si="34"/>
        <v>-9348.8369735646374</v>
      </c>
      <c r="D344" s="28">
        <f t="shared" si="29"/>
        <v>727.05632172623268</v>
      </c>
      <c r="E344" s="28">
        <f t="shared" si="30"/>
        <v>-8621.7806518384041</v>
      </c>
      <c r="F344" s="23">
        <f t="shared" si="31"/>
        <v>242466.18181540843</v>
      </c>
    </row>
    <row r="345" spans="1:6" x14ac:dyDescent="0.2">
      <c r="A345" s="26">
        <f t="shared" si="32"/>
        <v>274</v>
      </c>
      <c r="B345" s="22">
        <f t="shared" si="33"/>
        <v>242466.18181540843</v>
      </c>
      <c r="C345" s="28">
        <f t="shared" si="34"/>
        <v>-9348.8369735646374</v>
      </c>
      <c r="D345" s="28">
        <f t="shared" si="29"/>
        <v>702.09088704007672</v>
      </c>
      <c r="E345" s="28">
        <f t="shared" si="30"/>
        <v>-8646.7460865245612</v>
      </c>
      <c r="F345" s="23">
        <f t="shared" si="31"/>
        <v>233819.43572888387</v>
      </c>
    </row>
    <row r="346" spans="1:6" x14ac:dyDescent="0.2">
      <c r="A346" s="26">
        <f t="shared" si="32"/>
        <v>275</v>
      </c>
      <c r="B346" s="22">
        <f t="shared" si="33"/>
        <v>233819.43572888387</v>
      </c>
      <c r="C346" s="28">
        <f t="shared" si="34"/>
        <v>-9348.8369735646374</v>
      </c>
      <c r="D346" s="28">
        <f t="shared" si="29"/>
        <v>677.05316184291871</v>
      </c>
      <c r="E346" s="28">
        <f t="shared" si="30"/>
        <v>-8671.7838117217179</v>
      </c>
      <c r="F346" s="23">
        <f t="shared" si="31"/>
        <v>225147.65191716215</v>
      </c>
    </row>
    <row r="347" spans="1:6" x14ac:dyDescent="0.2">
      <c r="A347" s="26">
        <f t="shared" si="32"/>
        <v>276</v>
      </c>
      <c r="B347" s="22">
        <f t="shared" si="33"/>
        <v>225147.65191716215</v>
      </c>
      <c r="C347" s="28">
        <f t="shared" si="34"/>
        <v>-9348.8369735646374</v>
      </c>
      <c r="D347" s="28">
        <f t="shared" si="29"/>
        <v>651.94293680862256</v>
      </c>
      <c r="E347" s="28">
        <f t="shared" si="30"/>
        <v>-8696.8940367560153</v>
      </c>
      <c r="F347" s="23">
        <f t="shared" si="31"/>
        <v>216450.75788040613</v>
      </c>
    </row>
    <row r="348" spans="1:6" x14ac:dyDescent="0.2">
      <c r="A348" s="26">
        <f t="shared" si="32"/>
        <v>277</v>
      </c>
      <c r="B348" s="22">
        <f t="shared" si="33"/>
        <v>216450.75788040613</v>
      </c>
      <c r="C348" s="28">
        <f t="shared" si="34"/>
        <v>-9348.8369735646374</v>
      </c>
      <c r="D348" s="28">
        <f t="shared" si="29"/>
        <v>626.76000200492217</v>
      </c>
      <c r="E348" s="28">
        <f t="shared" si="30"/>
        <v>-8722.0769715597162</v>
      </c>
      <c r="F348" s="23">
        <f t="shared" si="31"/>
        <v>207728.68090884641</v>
      </c>
    </row>
    <row r="349" spans="1:6" x14ac:dyDescent="0.2">
      <c r="A349" s="26">
        <f t="shared" si="32"/>
        <v>278</v>
      </c>
      <c r="B349" s="22">
        <f t="shared" si="33"/>
        <v>207728.68090884641</v>
      </c>
      <c r="C349" s="28">
        <f t="shared" si="34"/>
        <v>-9348.8369735646374</v>
      </c>
      <c r="D349" s="28">
        <f t="shared" si="29"/>
        <v>601.50414689166678</v>
      </c>
      <c r="E349" s="28">
        <f t="shared" si="30"/>
        <v>-8747.3328266729714</v>
      </c>
      <c r="F349" s="23">
        <f t="shared" si="31"/>
        <v>198981.34808217344</v>
      </c>
    </row>
    <row r="350" spans="1:6" x14ac:dyDescent="0.2">
      <c r="A350" s="26">
        <f t="shared" si="32"/>
        <v>279</v>
      </c>
      <c r="B350" s="22">
        <f t="shared" si="33"/>
        <v>198981.34808217344</v>
      </c>
      <c r="C350" s="28">
        <f t="shared" si="34"/>
        <v>-9348.8369735646374</v>
      </c>
      <c r="D350" s="28">
        <f t="shared" si="29"/>
        <v>576.17516031906052</v>
      </c>
      <c r="E350" s="28">
        <f t="shared" si="30"/>
        <v>-8772.6618132455769</v>
      </c>
      <c r="F350" s="23">
        <f t="shared" si="31"/>
        <v>190208.68626892788</v>
      </c>
    </row>
    <row r="351" spans="1:6" x14ac:dyDescent="0.2">
      <c r="A351" s="26">
        <f t="shared" si="32"/>
        <v>280</v>
      </c>
      <c r="B351" s="22">
        <f t="shared" si="33"/>
        <v>190208.68626892788</v>
      </c>
      <c r="C351" s="28">
        <f t="shared" si="34"/>
        <v>-9348.8369735646374</v>
      </c>
      <c r="D351" s="28">
        <f t="shared" si="29"/>
        <v>550.77283052589689</v>
      </c>
      <c r="E351" s="28">
        <f t="shared" si="30"/>
        <v>-8798.0641430387404</v>
      </c>
      <c r="F351" s="23">
        <f t="shared" si="31"/>
        <v>181410.62212588915</v>
      </c>
    </row>
    <row r="352" spans="1:6" x14ac:dyDescent="0.2">
      <c r="A352" s="26">
        <f t="shared" si="32"/>
        <v>281</v>
      </c>
      <c r="B352" s="22">
        <f t="shared" si="33"/>
        <v>181410.62212588915</v>
      </c>
      <c r="C352" s="28">
        <f t="shared" si="34"/>
        <v>-9348.8369735646374</v>
      </c>
      <c r="D352" s="28">
        <f t="shared" si="29"/>
        <v>525.29694513778861</v>
      </c>
      <c r="E352" s="28">
        <f t="shared" si="30"/>
        <v>-8823.5400284268489</v>
      </c>
      <c r="F352" s="23">
        <f t="shared" si="31"/>
        <v>172587.08209746229</v>
      </c>
    </row>
    <row r="353" spans="1:6" x14ac:dyDescent="0.2">
      <c r="A353" s="26">
        <f t="shared" si="32"/>
        <v>282</v>
      </c>
      <c r="B353" s="22">
        <f t="shared" si="33"/>
        <v>172587.08209746229</v>
      </c>
      <c r="C353" s="28">
        <f t="shared" si="34"/>
        <v>-9348.8369735646374</v>
      </c>
      <c r="D353" s="28">
        <f t="shared" si="29"/>
        <v>499.74729116539226</v>
      </c>
      <c r="E353" s="28">
        <f t="shared" si="30"/>
        <v>-8849.0896823992443</v>
      </c>
      <c r="F353" s="23">
        <f t="shared" si="31"/>
        <v>163737.99241506305</v>
      </c>
    </row>
    <row r="354" spans="1:6" x14ac:dyDescent="0.2">
      <c r="A354" s="26">
        <f t="shared" si="32"/>
        <v>283</v>
      </c>
      <c r="B354" s="22">
        <f t="shared" si="33"/>
        <v>163737.99241506305</v>
      </c>
      <c r="C354" s="28">
        <f t="shared" si="34"/>
        <v>-9348.8369735646374</v>
      </c>
      <c r="D354" s="28">
        <f t="shared" si="29"/>
        <v>474.12365500262717</v>
      </c>
      <c r="E354" s="28">
        <f t="shared" si="30"/>
        <v>-8874.7133185620096</v>
      </c>
      <c r="F354" s="23">
        <f t="shared" si="31"/>
        <v>154863.27909650104</v>
      </c>
    </row>
    <row r="355" spans="1:6" x14ac:dyDescent="0.2">
      <c r="A355" s="26">
        <f t="shared" si="32"/>
        <v>284</v>
      </c>
      <c r="B355" s="22">
        <f t="shared" si="33"/>
        <v>154863.27909650104</v>
      </c>
      <c r="C355" s="28">
        <f t="shared" si="34"/>
        <v>-9348.8369735646374</v>
      </c>
      <c r="D355" s="28">
        <f t="shared" si="29"/>
        <v>448.42582242488982</v>
      </c>
      <c r="E355" s="28">
        <f t="shared" si="30"/>
        <v>-8900.4111511397477</v>
      </c>
      <c r="F355" s="23">
        <f t="shared" si="31"/>
        <v>145962.8679453613</v>
      </c>
    </row>
    <row r="356" spans="1:6" x14ac:dyDescent="0.2">
      <c r="A356" s="26">
        <f t="shared" si="32"/>
        <v>285</v>
      </c>
      <c r="B356" s="22">
        <f t="shared" si="33"/>
        <v>145962.8679453613</v>
      </c>
      <c r="C356" s="28">
        <f t="shared" si="34"/>
        <v>-9348.8369735646374</v>
      </c>
      <c r="D356" s="28">
        <f t="shared" si="29"/>
        <v>422.65357858726287</v>
      </c>
      <c r="E356" s="28">
        <f t="shared" si="30"/>
        <v>-8926.1833949773754</v>
      </c>
      <c r="F356" s="23">
        <f t="shared" si="31"/>
        <v>137036.68455038391</v>
      </c>
    </row>
    <row r="357" spans="1:6" x14ac:dyDescent="0.2">
      <c r="A357" s="26">
        <f t="shared" si="32"/>
        <v>286</v>
      </c>
      <c r="B357" s="22">
        <f t="shared" si="33"/>
        <v>137036.68455038391</v>
      </c>
      <c r="C357" s="28">
        <f t="shared" si="34"/>
        <v>-9348.8369735646374</v>
      </c>
      <c r="D357" s="28">
        <f t="shared" si="29"/>
        <v>396.80670802271879</v>
      </c>
      <c r="E357" s="28">
        <f t="shared" si="30"/>
        <v>-8952.0302655419182</v>
      </c>
      <c r="F357" s="23">
        <f t="shared" si="31"/>
        <v>128084.65428484199</v>
      </c>
    </row>
    <row r="358" spans="1:6" x14ac:dyDescent="0.2">
      <c r="A358" s="26">
        <f t="shared" si="32"/>
        <v>287</v>
      </c>
      <c r="B358" s="22">
        <f t="shared" si="33"/>
        <v>128084.65428484199</v>
      </c>
      <c r="C358" s="28">
        <f t="shared" si="34"/>
        <v>-9348.8369735646374</v>
      </c>
      <c r="D358" s="28">
        <f t="shared" si="29"/>
        <v>370.88499464031861</v>
      </c>
      <c r="E358" s="28">
        <f t="shared" si="30"/>
        <v>-8977.9519789243186</v>
      </c>
      <c r="F358" s="23">
        <f t="shared" si="31"/>
        <v>119106.70230591767</v>
      </c>
    </row>
    <row r="359" spans="1:6" x14ac:dyDescent="0.2">
      <c r="A359" s="26">
        <f t="shared" si="32"/>
        <v>288</v>
      </c>
      <c r="B359" s="22">
        <f t="shared" si="33"/>
        <v>119106.70230591767</v>
      </c>
      <c r="C359" s="28">
        <f t="shared" si="34"/>
        <v>-9348.8369735646374</v>
      </c>
      <c r="D359" s="28">
        <f t="shared" si="29"/>
        <v>344.88822172340531</v>
      </c>
      <c r="E359" s="28">
        <f t="shared" si="30"/>
        <v>-9003.9487518412316</v>
      </c>
      <c r="F359" s="23">
        <f t="shared" si="31"/>
        <v>110102.75355407644</v>
      </c>
    </row>
    <row r="360" spans="1:6" x14ac:dyDescent="0.2">
      <c r="A360" s="26">
        <f t="shared" si="32"/>
        <v>289</v>
      </c>
      <c r="B360" s="22">
        <f t="shared" si="33"/>
        <v>110102.75355407644</v>
      </c>
      <c r="C360" s="28">
        <f t="shared" si="34"/>
        <v>-9348.8369735646374</v>
      </c>
      <c r="D360" s="28">
        <f t="shared" si="29"/>
        <v>318.81617192779186</v>
      </c>
      <c r="E360" s="28">
        <f t="shared" si="30"/>
        <v>-9030.0208016368451</v>
      </c>
      <c r="F360" s="23">
        <f t="shared" si="31"/>
        <v>101072.7327524396</v>
      </c>
    </row>
    <row r="361" spans="1:6" x14ac:dyDescent="0.2">
      <c r="A361" s="26">
        <f t="shared" si="32"/>
        <v>290</v>
      </c>
      <c r="B361" s="22">
        <f t="shared" si="33"/>
        <v>101072.7327524396</v>
      </c>
      <c r="C361" s="28">
        <f t="shared" si="34"/>
        <v>-9348.8369735646374</v>
      </c>
      <c r="D361" s="28">
        <f t="shared" si="29"/>
        <v>292.66862727994413</v>
      </c>
      <c r="E361" s="28">
        <f t="shared" si="30"/>
        <v>-9056.1683462846941</v>
      </c>
      <c r="F361" s="23">
        <f t="shared" si="31"/>
        <v>92016.564406154896</v>
      </c>
    </row>
    <row r="362" spans="1:6" x14ac:dyDescent="0.2">
      <c r="A362" s="26">
        <f t="shared" si="32"/>
        <v>291</v>
      </c>
      <c r="B362" s="22">
        <f t="shared" si="33"/>
        <v>92016.564406154896</v>
      </c>
      <c r="C362" s="28">
        <f t="shared" si="34"/>
        <v>-9348.8369735646374</v>
      </c>
      <c r="D362" s="28">
        <f t="shared" si="29"/>
        <v>266.44536917515865</v>
      </c>
      <c r="E362" s="28">
        <f t="shared" si="30"/>
        <v>-9082.3916043894787</v>
      </c>
      <c r="F362" s="23">
        <f t="shared" si="31"/>
        <v>82934.17280176541</v>
      </c>
    </row>
    <row r="363" spans="1:6" x14ac:dyDescent="0.2">
      <c r="A363" s="26">
        <f t="shared" si="32"/>
        <v>292</v>
      </c>
      <c r="B363" s="22">
        <f t="shared" si="33"/>
        <v>82934.17280176541</v>
      </c>
      <c r="C363" s="28">
        <f t="shared" si="34"/>
        <v>-9348.8369735646374</v>
      </c>
      <c r="D363" s="28">
        <f t="shared" si="29"/>
        <v>240.14617837573508</v>
      </c>
      <c r="E363" s="28">
        <f t="shared" si="30"/>
        <v>-9108.6907951889025</v>
      </c>
      <c r="F363" s="23">
        <f t="shared" si="31"/>
        <v>73825.482006576509</v>
      </c>
    </row>
    <row r="364" spans="1:6" x14ac:dyDescent="0.2">
      <c r="A364" s="26">
        <f t="shared" si="32"/>
        <v>293</v>
      </c>
      <c r="B364" s="22">
        <f t="shared" si="33"/>
        <v>73825.482006576509</v>
      </c>
      <c r="C364" s="28">
        <f t="shared" si="34"/>
        <v>-9348.8369735646374</v>
      </c>
      <c r="D364" s="28">
        <f t="shared" si="29"/>
        <v>213.77083500914293</v>
      </c>
      <c r="E364" s="28">
        <f t="shared" si="30"/>
        <v>-9135.066138555494</v>
      </c>
      <c r="F364" s="23">
        <f t="shared" si="31"/>
        <v>64690.415868021017</v>
      </c>
    </row>
    <row r="365" spans="1:6" x14ac:dyDescent="0.2">
      <c r="A365" s="26">
        <f t="shared" si="32"/>
        <v>294</v>
      </c>
      <c r="B365" s="22">
        <f t="shared" si="33"/>
        <v>64690.415868021017</v>
      </c>
      <c r="C365" s="28">
        <f t="shared" si="34"/>
        <v>-9348.8369735646374</v>
      </c>
      <c r="D365" s="28">
        <f t="shared" si="29"/>
        <v>187.31911856618365</v>
      </c>
      <c r="E365" s="28">
        <f t="shared" si="30"/>
        <v>-9161.5178549984539</v>
      </c>
      <c r="F365" s="23">
        <f t="shared" si="31"/>
        <v>55528.898013022561</v>
      </c>
    </row>
    <row r="366" spans="1:6" x14ac:dyDescent="0.2">
      <c r="A366" s="26">
        <f t="shared" si="32"/>
        <v>295</v>
      </c>
      <c r="B366" s="22">
        <f t="shared" si="33"/>
        <v>55528.898013022561</v>
      </c>
      <c r="C366" s="28">
        <f t="shared" si="34"/>
        <v>-9348.8369735646374</v>
      </c>
      <c r="D366" s="28">
        <f t="shared" si="29"/>
        <v>160.7908078991469</v>
      </c>
      <c r="E366" s="28">
        <f t="shared" si="30"/>
        <v>-9188.0461656654898</v>
      </c>
      <c r="F366" s="23">
        <f t="shared" si="31"/>
        <v>46340.851847357073</v>
      </c>
    </row>
    <row r="367" spans="1:6" x14ac:dyDescent="0.2">
      <c r="A367" s="26">
        <f t="shared" si="32"/>
        <v>296</v>
      </c>
      <c r="B367" s="22">
        <f t="shared" si="33"/>
        <v>46340.851847357073</v>
      </c>
      <c r="C367" s="28">
        <f t="shared" si="34"/>
        <v>-9348.8369735646374</v>
      </c>
      <c r="D367" s="28">
        <f t="shared" si="29"/>
        <v>134.18568121996185</v>
      </c>
      <c r="E367" s="28">
        <f t="shared" si="30"/>
        <v>-9214.6512923446753</v>
      </c>
      <c r="F367" s="23">
        <f t="shared" si="31"/>
        <v>37126.200555012401</v>
      </c>
    </row>
    <row r="368" spans="1:6" x14ac:dyDescent="0.2">
      <c r="A368" s="26">
        <f t="shared" si="32"/>
        <v>297</v>
      </c>
      <c r="B368" s="22">
        <f t="shared" si="33"/>
        <v>37126.200555012401</v>
      </c>
      <c r="C368" s="28">
        <f t="shared" si="34"/>
        <v>-9348.8369735646374</v>
      </c>
      <c r="D368" s="28">
        <f t="shared" si="29"/>
        <v>107.50351609834269</v>
      </c>
      <c r="E368" s="28">
        <f t="shared" si="30"/>
        <v>-9241.3334574662949</v>
      </c>
      <c r="F368" s="23">
        <f t="shared" si="31"/>
        <v>27884.867097546106</v>
      </c>
    </row>
    <row r="369" spans="1:6" x14ac:dyDescent="0.2">
      <c r="A369" s="26">
        <f t="shared" si="32"/>
        <v>298</v>
      </c>
      <c r="B369" s="22">
        <f t="shared" si="33"/>
        <v>27884.867097546106</v>
      </c>
      <c r="C369" s="28">
        <f t="shared" si="34"/>
        <v>-9348.8369735646374</v>
      </c>
      <c r="D369" s="28">
        <f t="shared" si="29"/>
        <v>80.744089459929199</v>
      </c>
      <c r="E369" s="28">
        <f t="shared" si="30"/>
        <v>-9268.092884104708</v>
      </c>
      <c r="F369" s="23">
        <f t="shared" si="31"/>
        <v>18616.7742134414</v>
      </c>
    </row>
    <row r="370" spans="1:6" x14ac:dyDescent="0.2">
      <c r="A370" s="26">
        <f t="shared" si="32"/>
        <v>299</v>
      </c>
      <c r="B370" s="22">
        <f t="shared" si="33"/>
        <v>18616.7742134414</v>
      </c>
      <c r="C370" s="28">
        <f t="shared" si="34"/>
        <v>-9348.8369735646374</v>
      </c>
      <c r="D370" s="28">
        <f t="shared" si="29"/>
        <v>53.907177584421689</v>
      </c>
      <c r="E370" s="28">
        <f t="shared" si="30"/>
        <v>-9294.9297959802152</v>
      </c>
      <c r="F370" s="23">
        <f t="shared" si="31"/>
        <v>9321.844417461185</v>
      </c>
    </row>
    <row r="371" spans="1:6" x14ac:dyDescent="0.2">
      <c r="A371" s="27">
        <f t="shared" si="32"/>
        <v>300</v>
      </c>
      <c r="B371" s="24">
        <f t="shared" si="33"/>
        <v>9321.844417461185</v>
      </c>
      <c r="C371" s="29">
        <f t="shared" si="34"/>
        <v>-9348.8369735646374</v>
      </c>
      <c r="D371" s="29">
        <f t="shared" si="29"/>
        <v>26.992556103710616</v>
      </c>
      <c r="E371" s="29">
        <f t="shared" si="30"/>
        <v>-9321.8444174609267</v>
      </c>
      <c r="F371" s="25">
        <f t="shared" si="31"/>
        <v>2.5829649530351162E-10</v>
      </c>
    </row>
  </sheetData>
  <mergeCells count="6">
    <mergeCell ref="A70:F70"/>
    <mergeCell ref="A3:B3"/>
    <mergeCell ref="A27:H27"/>
    <mergeCell ref="C28:H28"/>
    <mergeCell ref="A44:G44"/>
    <mergeCell ref="A57:G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Likely</vt:lpstr>
      <vt:lpstr>Pessimistic</vt:lpstr>
      <vt:lpstr>Optimistic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</dc:creator>
  <cp:lastModifiedBy>Abderrahmane Benchelabi</cp:lastModifiedBy>
  <dcterms:created xsi:type="dcterms:W3CDTF">2019-05-15T19:08:35Z</dcterms:created>
  <dcterms:modified xsi:type="dcterms:W3CDTF">2026-03-21T01:08:58Z</dcterms:modified>
</cp:coreProperties>
</file>